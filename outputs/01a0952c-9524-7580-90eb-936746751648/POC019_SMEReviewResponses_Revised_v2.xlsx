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3163c8e92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98c0f0dd0c234218"/>
    <x:sheet xmlns:r="http://schemas.openxmlformats.org/officeDocument/2006/relationships" name="Case Review" sheetId="2" r:id="Rbd943043197249c7"/>
    <x:sheet xmlns:r="http://schemas.openxmlformats.org/officeDocument/2006/relationships" name="Policy Decisions" sheetId="3" r:id="R467b2e49330d40dc"/>
    <x:sheet xmlns:r="http://schemas.openxmlformats.org/officeDocument/2006/relationships" name="Evidence" sheetId="4" r:id="Rf65225009f3c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"/>
    <x:numFmt numFmtId="201" formatCode="0"/>
  </x:numFmts>
  <x:fonts count="9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b/>
      <x:sz val="10"/>
      <x:color rgb="FF2F75B5"/>
      <x:name val="Arial"/>
    </x:font>
    <x:font>
      <x:b/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8">
    <x:border/>
    <x:border>
      <x:bottom style="thin">
        <x:color rgb="FF2F75B5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f1266ada14033" /><Relationship Type="http://schemas.openxmlformats.org/officeDocument/2006/relationships/theme" Target="/xl/theme/theme1.xml" Id="Ra598e53648e345de" /><Relationship Type="http://schemas.microsoft.com/office/2022/11/relationships/FeaturePropertyBag" Target="/xl/featurePropertyBag/featurePropertyBag.xml" Id="R6e314d95e7e740c5" /><Relationship Type="http://schemas.openxmlformats.org/officeDocument/2006/relationships/sharedStrings" Target="/xl/sharedStrings.xml" Id="Rd0edfa4c118447bc" /><Relationship Type="http://schemas.openxmlformats.org/officeDocument/2006/relationships/worksheet" Target="/xl/worksheets/sheet1.xml" Id="R98c0f0dd0c234218" /><Relationship Type="http://schemas.openxmlformats.org/officeDocument/2006/relationships/worksheet" Target="/xl/worksheets/sheet2.xml" Id="Rbd943043197249c7" /><Relationship Type="http://schemas.openxmlformats.org/officeDocument/2006/relationships/worksheet" Target="/xl/worksheets/sheet3.xml" Id="R467b2e49330d40dc" /><Relationship Type="http://schemas.openxmlformats.org/officeDocument/2006/relationships/worksheet" Target="/xl/worksheets/sheet4.xml" Id="Rf65225009f3c43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oc019CaseReview" displayName="Poc019CaseReview" ref="A5:P22" headerRowCount="1" totalsRowCount="0" totalsRowShown="0">
  <x:tableColumns count="16">
    <x:tableColumn id="1" name="Case ID"/>
    <x:tableColumn id="2" name="Category"/>
    <x:tableColumn id="3" name="SME question"/>
    <x:tableColumn id="4" name="Left incident"/>
    <x:tableColumn id="5" name="Left baseline"/>
    <x:tableColumn id="6" name="Left candidate"/>
    <x:tableColumn id="7" name="Right incident"/>
    <x:tableColumn id="8" name="Right baseline"/>
    <x:tableColumn id="9" name="Right candidate"/>
    <x:tableColumn id="10" name="Baseline order"/>
    <x:tableColumn id="11" name="Proposed order"/>
    <x:tableColumn id="12" name="SME decision"/>
    <x:tableColumn id="13" name="Preferred outcome"/>
    <x:tableColumn id="14" name="Rationale"/>
    <x:tableColumn id="15" name="Requested change"/>
    <x:tableColumn id="16" name="Additional case need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c019PolicyReview" displayName="Poc019PolicyReview" ref="A5:F15" headerRowCount="1" totalsRowCount="0" totalsRowShown="0">
  <x:tableColumns count="6">
    <x:tableColumn id="1" name="Policy area"/>
    <x:tableColumn id="2" name="Current evaluation proposal"/>
    <x:tableColumn id="3" name="SME decision"/>
    <x:tableColumn id="4" name="Approved value or outcome"/>
    <x:tableColumn id="5" name="Rationale"/>
    <x:tableColumn id="6" name="Additional case or follow-u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c019IncidentEvidence" displayName="Poc019IncidentEvidence" ref="A5:J36" headerRowCount="1" totalsRowCount="0" totalsRowShown="0">
  <x:tableColumns count="10">
    <x:tableColumn id="1" name="Incident ID"/>
    <x:tableColumn id="2" name="Severity"/>
    <x:tableColumn id="3" name="Customers"/>
    <x:tableColumn id="4" name="CF"/>
    <x:tableColumn id="5" name="Resolved level"/>
    <x:tableColumn id="6" name="Hazard"/>
    <x:tableColumn id="7" name="Age minutes"/>
    <x:tableColumn id="8" name="Baseline score"/>
    <x:tableColumn id="9" name="Candidate score"/>
    <x:tableColumn id="10" name="Warn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c019FacilityEvidence" displayName="Poc019FacilityEvidence" ref="A40:G49" headerRowCount="1" totalsRowCount="0" totalsRowShown="0">
  <x:tableColumns count="7">
    <x:tableColumn id="1" name="Facility ID"/>
    <x:tableColumn id="2" name="Facility name"/>
    <x:tableColumn id="3" name="Type"/>
    <x:tableColumn id="4" name="Region"/>
    <x:tableColumn id="5" name="Municipality"/>
    <x:tableColumn id="6" name="Feeder"/>
    <x:tableColumn id="7" name="Priority leve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c019OverrideEvidence" displayName="Poc019OverrideEvidence" ref="A53:E58" headerRowCount="1" totalsRowCount="0" totalsRowShown="0">
  <x:tableColumns count="5">
    <x:tableColumn id="1" name="Override example"/>
    <x:tableColumn id="2" name="Action"/>
    <x:tableColumn id="3" name="Reason"/>
    <x:tableColumn id="4" name="Assignment created"/>
    <x:tableColumn id="5" name="Evidence preserv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0d3a8a61fa4c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c129e776eb4a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74edcbd5024d7e" /><Relationship Type="http://schemas.openxmlformats.org/officeDocument/2006/relationships/table" Target="/xl/tables/table4.xml" Id="R318d6fed1af14977" /><Relationship Type="http://schemas.openxmlformats.org/officeDocument/2006/relationships/table" Target="/xl/tables/table5.xml" Id="R4bab13d470e1440d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19.200000762939453" hidden="0" customHeight="1">
      <x:c r="A2" s="3" t="str">
        <x:v>POC-019 Critical Facility Scoring SME Review</x:v>
      </x:c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15" hidden="0" customHeight="1">
      <x:c r="A5" s="5" t="str">
        <x:v>Reviewer name</x:v>
      </x:c>
      <x:c r="B5" s="6" t="str">
        <x:v>Tony Vota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15" hidden="0" customHeight="1">
      <x:c r="A6" s="5" t="str">
        <x:v>Review date</x:v>
      </x:c>
      <x:c r="B6" s="7" t="n">
        <x:v>46277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15" hidden="0" customHeight="1">
      <x:c r="A7" s="5" t="str">
        <x:v>Overall disposition</x:v>
      </x:c>
      <x:c r="B7" s="6" t="str">
        <x:v>Pending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15" hidden="0" customHeight="1">
      <x:c r="A8" s="5" t="str">
        <x:v>Review status</x:v>
      </x:c>
      <x:c r="B8" s="2" t="str">
        <x:f>IF(B7="Pending","Review in progress",IF(B11&lt;B10,"Complete all case decisions",IF(B15&lt;B14,"Complete all policy decisions","Ready to submit")))</x:f>
        <x:v>Review in progress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15" hidden="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15" hidden="0" customHeight="1">
      <x:c r="A10" s="14" t="str">
        <x:v>Case questions</x:v>
      </x:c>
      <x:c r="B10" s="17" t="n">
        <x:v>17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15" hidden="0" customHeight="1">
      <x:c r="A11" s="15" t="str">
        <x:v>Case decisions completed</x:v>
      </x:c>
      <x:c r="B11" s="18" t="n">
        <x:f>COUNTA('Case Review'!L6:L22)</x:f>
        <x:v>15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15" hidden="0" customHeight="1">
      <x:c r="A12" s="16" t="str">
        <x:v>Cases requesting revision</x:v>
      </x:c>
      <x:c r="B12" s="19" t="n">
        <x:f>COUNTIF('Case Review'!L6:L22,"Revise")</x:f>
        <x:v>0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15" hidden="0" customHeight="1">
      <x:c r="A13" s="5"/>
      <x:c r="B13" s="20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15" hidden="0" customHeight="1">
      <x:c r="A14" s="14" t="str">
        <x:v>Policy questions</x:v>
      </x:c>
      <x:c r="B14" s="17" t="n">
        <x:v>10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5" hidden="0" customHeight="1">
      <x:c r="A15" s="16" t="str">
        <x:v>Policy decisions completed</x:v>
      </x:c>
      <x:c r="B15" s="19" t="n">
        <x:f>COUNTA('Policy Decisions'!C6:C15)</x:f>
        <x:v>10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15" hidden="0" customHeight="1">
      <x:c r="A18" s="22" t="str">
        <x:v>How to complete this review</x:v>
      </x:c>
      <x:c r="B18" s="22"/>
      <x:c r="C18" s="22"/>
      <x:c r="D18" s="22"/>
      <x:c r="E18" s="22"/>
      <x:c r="F18" s="22"/>
      <x:c r="G18" s="22"/>
      <x:c r="H18" s="2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15" hidden="0" customHeight="1">
      <x:c r="A19" s="24" t="str">
        <x:v>1</x:v>
      </x:c>
      <x:c r="B19" s="23" t="str">
        <x:v>Open Case Review and complete only the blank SME decision rows for the revised hazard cases.</x:v>
      </x:c>
      <x:c r="C19" s="23"/>
      <x:c r="D19" s="23"/>
      <x:c r="E19" s="23"/>
      <x:c r="F19" s="23"/>
      <x:c r="G19" s="23"/>
      <x:c r="H19" s="23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4" hidden="0" customHeight="1">
      <x:c r="A20" s="24" t="str">
        <x:v>2</x:v>
      </x:c>
      <x:c r="B20" s="23" t="str">
        <x:v>Confirm the proposed outcome or record a different outcome, rationale, and requested change.</x:v>
      </x:c>
      <x:c r="C20" s="23"/>
      <x:c r="D20" s="23"/>
      <x:c r="E20" s="23"/>
      <x:c r="F20" s="23"/>
      <x:c r="G20" s="23"/>
      <x:c r="H20" s="23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4" hidden="0" customHeight="1">
      <x:c r="A21" s="24" t="str">
        <x:v>3</x:v>
      </x:c>
      <x:c r="B21" s="23" t="str">
        <x:v>The approved Escalation interpretation is recorded in Policy Decisions and Evidence.</x:v>
      </x:c>
      <x:c r="C21" s="23"/>
      <x:c r="D21" s="23"/>
      <x:c r="E21" s="23"/>
      <x:c r="F21" s="23"/>
      <x:c r="G21" s="23"/>
      <x:c r="H21" s="23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15" hidden="0" customHeight="1">
      <x:c r="A22" s="24" t="str">
        <x:v>4</x:v>
      </x:c>
      <x:c r="B22" s="23" t="str">
        <x:v>Return here and select Approve sample only after both revised case decisions are complete.</x:v>
      </x:c>
      <x:c r="C22" s="23"/>
      <x:c r="D22" s="23"/>
      <x:c r="E22" s="23"/>
      <x:c r="F22" s="23"/>
      <x:c r="G22" s="23"/>
      <x:c r="H22" s="23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15" hidden="0" customHeight="1">
      <x:c r="A23" s="24" t="str">
        <x:v>5</x:v>
      </x:c>
      <x:c r="B23" s="23" t="str">
        <x:v>Do not edit Evidence. It preserves the values and override examples under review.</x:v>
      </x:c>
      <x:c r="C23" s="23"/>
      <x:c r="D23" s="23"/>
      <x:c r="E23" s="23"/>
      <x:c r="F23" s="23"/>
      <x:c r="G23" s="23"/>
      <x:c r="H23" s="23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15" hidden="0" customHeight="1">
      <x:c r="A26" s="26" t="str">
        <x:v>Review basis</x:v>
      </x:c>
      <x:c r="B26" s="26"/>
      <x:c r="C26" s="26"/>
      <x:c r="D26" s="26"/>
      <x:c r="E26" s="26"/>
      <x:c r="F26" s="26"/>
      <x:c r="G26" s="26"/>
      <x:c r="H26" s="26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15" hidden="0" customHeight="1">
      <x:c r="A27" s="27" t="str">
        <x:v>Dataset</x:v>
      </x:c>
      <x:c r="B27" s="2" t="str">
        <x:v>poc-019-cf-sample-v2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15" hidden="0" customHeight="1">
      <x:c r="A28" s="27" t="str">
        <x:v>Sample incidents</x:v>
      </x:c>
      <x:c r="B28" s="2" t="n">
        <x:v>31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15" hidden="0" customHeight="1">
      <x:c r="A29" s="27" t="str">
        <x:v>Controlled comparisons</x:v>
      </x:c>
      <x:c r="B29" s="2" t="n">
        <x:v>17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15" hidden="0" customHeight="1">
      <x:c r="A30" s="27" t="str">
        <x:v>Baseline policy</x:v>
      </x:c>
      <x:c r="B30" s="2" t="str">
        <x:v>incident-priority-v1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15" hidden="0" customHeight="1">
      <x:c r="A31" s="27" t="str">
        <x:v>Candidate profile</x:v>
      </x:c>
      <x:c r="B31" s="2" t="str">
        <x:v>illustrative-level-differentiation-v1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15" hidden="0" customHeight="1">
      <x:c r="A32" s="27" t="str">
        <x:v>Candidate status</x:v>
      </x:c>
      <x:c r="B32" s="28" t="str">
        <x:v>Revised sample pending SME review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</x:sheetData>
  <x:mergeCells>
    <x:mergeCell ref="A2:H2"/>
    <x:mergeCell ref="B19:H19"/>
    <x:mergeCell ref="B20:H20"/>
    <x:mergeCell ref="B21:H21"/>
    <x:mergeCell ref="B22:H22"/>
    <x:mergeCell ref="B23:H23"/>
  </x:mergeCells>
  <x:dataValidations count="1">
    <x:dataValidation type="list" sqref="B7">
      <x:formula1>"Pending,Approve sample,Revise sample,Defer,Stop"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9" hidden="0" customWidth="1"/>
    <x:col min="2" max="2" width="20" hidden="0" customWidth="1"/>
    <x:col min="3" max="3" width="48" hidden="0" customWidth="1"/>
    <x:col min="4" max="4" width="24" hidden="0" customWidth="1"/>
    <x:col min="5" max="5" width="14" hidden="0" customWidth="1"/>
    <x:col min="6" max="6" width="14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20" hidden="0" customWidth="1"/>
    <x:col min="14" max="14" width="34" hidden="0" customWidth="1"/>
    <x:col min="15" max="15" width="34" hidden="0" customWidth="1"/>
    <x:col min="16" max="16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9" t="str">
        <x:v>Controlled case review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"/>
    </x:row>
    <x:row r="3">
      <x:c r="A3" s="30" t="str">
        <x:v>Amber columns are for SME input. Scores are evidence from the baseline and illustrative candidate profiles.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31" t="str">
        <x:v>Case ID</x:v>
      </x:c>
      <x:c r="B5" s="31" t="str">
        <x:v>Category</x:v>
      </x:c>
      <x:c r="C5" s="31" t="str">
        <x:v>SME question</x:v>
      </x:c>
      <x:c r="D5" s="31" t="str">
        <x:v>Left incident</x:v>
      </x:c>
      <x:c r="E5" s="31" t="str">
        <x:v>Left baseline</x:v>
      </x:c>
      <x:c r="F5" s="31" t="str">
        <x:v>Left candidate</x:v>
      </x:c>
      <x:c r="G5" s="31" t="str">
        <x:v>Right incident</x:v>
      </x:c>
      <x:c r="H5" s="31" t="str">
        <x:v>Right baseline</x:v>
      </x:c>
      <x:c r="I5" s="31" t="str">
        <x:v>Right candidate</x:v>
      </x:c>
      <x:c r="J5" s="31" t="str">
        <x:v>Baseline order</x:v>
      </x:c>
      <x:c r="K5" s="31" t="str">
        <x:v>Proposed order</x:v>
      </x:c>
      <x:c r="L5" s="31" t="str">
        <x:v>SME decision</x:v>
      </x:c>
      <x:c r="M5" s="31" t="str">
        <x:v>Preferred outcome</x:v>
      </x:c>
      <x:c r="N5" s="31" t="str">
        <x:v>Rationale</x:v>
      </x:c>
      <x:c r="O5" s="31" t="str">
        <x:v>Requested change</x:v>
      </x:c>
      <x:c r="P5" s="31" t="str">
        <x:v>Additional case needed</x:v>
      </x:c>
      <x:c r="Q5" s="2"/>
    </x:row>
    <x:row r="6" ht="48" customHeight="1">
      <x:c r="A6" s="31" t="str">
        <x:v>CF-L1-NONE</x:v>
      </x:c>
      <x:c r="B6" s="31" t="str">
        <x:v>facility_level</x:v>
      </x:c>
      <x:c r="C6" s="33" t="str">
        <x:v>Should Level 1 receive the proposed differentiated bonus?</x:v>
      </x:c>
      <x:c r="D6" s="31" t="str">
        <x:v>P019-L1</x:v>
      </x:c>
      <x:c r="E6" s="31" t="n">
        <x:v>90</x:v>
      </x:c>
      <x:c r="F6" s="31" t="n">
        <x:v>130</x:v>
      </x:c>
      <x:c r="G6" s="31" t="str">
        <x:v>P019-L1-NONE</x:v>
      </x:c>
      <x:c r="H6" s="31" t="n">
        <x:v>10</x:v>
      </x:c>
      <x:c r="I6" s="31" t="n">
        <x:v>10</x:v>
      </x:c>
      <x:c r="J6" s="31" t="str">
        <x:v>&gt;</x:v>
      </x:c>
      <x:c r="K6" s="31" t="str">
        <x:v>&gt;</x:v>
      </x:c>
      <x:c r="L6" s="32" t="str">
        <x:v>Approve</x:v>
      </x:c>
      <x:c r="M6" s="32"/>
      <x:c r="N6" s="34"/>
      <x:c r="O6" s="34"/>
      <x:c r="P6" s="34"/>
      <x:c r="Q6" s="2"/>
    </x:row>
    <x:row r="7" ht="48" customHeight="1">
      <x:c r="A7" s="31" t="str">
        <x:v>CF-L2-NONE</x:v>
      </x:c>
      <x:c r="B7" s="31" t="str">
        <x:v>facility_level</x:v>
      </x:c>
      <x:c r="C7" s="33" t="str">
        <x:v>Should Level 2 retain the current flat-bonus magnitude?</x:v>
      </x:c>
      <x:c r="D7" s="31" t="str">
        <x:v>P019-L2</x:v>
      </x:c>
      <x:c r="E7" s="31" t="n">
        <x:v>90</x:v>
      </x:c>
      <x:c r="F7" s="31" t="n">
        <x:v>90</x:v>
      </x:c>
      <x:c r="G7" s="31" t="str">
        <x:v>P019-L2-NONE</x:v>
      </x:c>
      <x:c r="H7" s="31" t="n">
        <x:v>10</x:v>
      </x:c>
      <x:c r="I7" s="31" t="n">
        <x:v>10</x:v>
      </x:c>
      <x:c r="J7" s="31" t="str">
        <x:v>&gt;</x:v>
      </x:c>
      <x:c r="K7" s="31" t="str">
        <x:v>&gt;</x:v>
      </x:c>
      <x:c r="L7" s="32" t="str">
        <x:v>Approve</x:v>
      </x:c>
      <x:c r="M7" s="32"/>
      <x:c r="N7" s="34"/>
      <x:c r="O7" s="34"/>
      <x:c r="P7" s="34"/>
      <x:c r="Q7" s="2"/>
    </x:row>
    <x:row r="8" ht="48" customHeight="1">
      <x:c r="A8" s="31" t="str">
        <x:v>CF-L3-NONE</x:v>
      </x:c>
      <x:c r="B8" s="31" t="str">
        <x:v>facility_level</x:v>
      </x:c>
      <x:c r="C8" s="33" t="str">
        <x:v>Should Level 3 receive a smaller but positive bonus?</x:v>
      </x:c>
      <x:c r="D8" s="31" t="str">
        <x:v>P019-L3</x:v>
      </x:c>
      <x:c r="E8" s="31" t="n">
        <x:v>90</x:v>
      </x:c>
      <x:c r="F8" s="31" t="n">
        <x:v>50</x:v>
      </x:c>
      <x:c r="G8" s="31" t="str">
        <x:v>P019-L3-NONE</x:v>
      </x:c>
      <x:c r="H8" s="31" t="n">
        <x:v>10</x:v>
      </x:c>
      <x:c r="I8" s="31" t="n">
        <x:v>10</x:v>
      </x:c>
      <x:c r="J8" s="31" t="str">
        <x:v>&gt;</x:v>
      </x:c>
      <x:c r="K8" s="31" t="str">
        <x:v>&gt;</x:v>
      </x:c>
      <x:c r="L8" s="32" t="str">
        <x:v>Approve</x:v>
      </x:c>
      <x:c r="M8" s="32"/>
      <x:c r="N8" s="34"/>
      <x:c r="O8" s="34"/>
      <x:c r="P8" s="34"/>
      <x:c r="Q8" s="2"/>
    </x:row>
    <x:row r="9" ht="48" customHeight="1">
      <x:c r="A9" s="31" t="str">
        <x:v>CF-UNKNOWN-NONE</x:v>
      </x:c>
      <x:c r="B9" s="31" t="str">
        <x:v>unknown_facility</x:v>
      </x:c>
      <x:c r="C9" s="33" t="str">
        <x:v>Should an unknown facility level be withheld from candidate ranking?</x:v>
      </x:c>
      <x:c r="D9" s="31" t="str">
        <x:v>P019-UNKNOWN</x:v>
      </x:c>
      <x:c r="E9" s="31" t="n">
        <x:v>90</x:v>
      </x:c>
      <x:c r="F9" s="31" t="str">
        <x:v>Review required</x:v>
      </x:c>
      <x:c r="G9" s="31" t="str">
        <x:v>P019-UNKNOWN-NONE</x:v>
      </x:c>
      <x:c r="H9" s="31" t="n">
        <x:v>10</x:v>
      </x:c>
      <x:c r="I9" s="31" t="n">
        <x:v>10</x:v>
      </x:c>
      <x:c r="J9" s="31" t="str">
        <x:v>&gt;</x:v>
      </x:c>
      <x:c r="K9" s="31" t="str">
        <x:v>review</x:v>
      </x:c>
      <x:c r="L9" s="32" t="str">
        <x:v>Approve</x:v>
      </x:c>
      <x:c r="M9" s="32"/>
      <x:c r="N9" s="34"/>
      <x:c r="O9" s="34"/>
      <x:c r="P9" s="34"/>
      <x:c r="Q9" s="2"/>
    </x:row>
    <x:row r="10" ht="48" customHeight="1">
      <x:c r="A10" s="31" t="str">
        <x:v>CF-L1-L2</x:v>
      </x:c>
      <x:c r="B10" s="31" t="str">
        <x:v>facility_level</x:v>
      </x:c>
      <x:c r="C10" s="33" t="str">
        <x:v>Is the proposed Level 1 over Level 2 ordering operationally appropriate?</x:v>
      </x:c>
      <x:c r="D10" s="31" t="str">
        <x:v>P019-L1</x:v>
      </x:c>
      <x:c r="E10" s="31" t="n">
        <x:v>90</x:v>
      </x:c>
      <x:c r="F10" s="31" t="n">
        <x:v>130</x:v>
      </x:c>
      <x:c r="G10" s="31" t="str">
        <x:v>P019-L2</x:v>
      </x:c>
      <x:c r="H10" s="31" t="n">
        <x:v>90</x:v>
      </x:c>
      <x:c r="I10" s="31" t="n">
        <x:v>90</x:v>
      </x:c>
      <x:c r="J10" s="31" t="str">
        <x:v>=</x:v>
      </x:c>
      <x:c r="K10" s="31" t="str">
        <x:v>&gt;</x:v>
      </x:c>
      <x:c r="L10" s="32" t="str">
        <x:v>Approve</x:v>
      </x:c>
      <x:c r="M10" s="32"/>
      <x:c r="N10" s="34"/>
      <x:c r="O10" s="34"/>
      <x:c r="P10" s="34"/>
      <x:c r="Q10" s="2"/>
    </x:row>
    <x:row r="11" ht="48" customHeight="1">
      <x:c r="A11" s="31" t="str">
        <x:v>CF-L2-L3</x:v>
      </x:c>
      <x:c r="B11" s="31" t="str">
        <x:v>facility_level</x:v>
      </x:c>
      <x:c r="C11" s="33" t="str">
        <x:v>Is the proposed Level 2 over Level 3 ordering operationally appropriate?</x:v>
      </x:c>
      <x:c r="D11" s="31" t="str">
        <x:v>P019-L2</x:v>
      </x:c>
      <x:c r="E11" s="31" t="n">
        <x:v>90</x:v>
      </x:c>
      <x:c r="F11" s="31" t="n">
        <x:v>90</x:v>
      </x:c>
      <x:c r="G11" s="31" t="str">
        <x:v>P019-L3</x:v>
      </x:c>
      <x:c r="H11" s="31" t="n">
        <x:v>90</x:v>
      </x:c>
      <x:c r="I11" s="31" t="n">
        <x:v>50</x:v>
      </x:c>
      <x:c r="J11" s="31" t="str">
        <x:v>=</x:v>
      </x:c>
      <x:c r="K11" s="31" t="str">
        <x:v>&gt;</x:v>
      </x:c>
      <x:c r="L11" s="32" t="str">
        <x:v>Approve</x:v>
      </x:c>
      <x:c r="M11" s="32"/>
      <x:c r="N11" s="34"/>
      <x:c r="O11" s="34"/>
      <x:c r="P11" s="34"/>
      <x:c r="Q11" s="2"/>
    </x:row>
    <x:row r="12" ht="48" customHeight="1">
      <x:c r="A12" s="31" t="str">
        <x:v>LSE-1-100</x:v>
      </x:c>
      <x:c r="B12" s="31" t="str">
        <x:v>lse_customer_count</x:v>
      </x:c>
      <x:c r="C12" s="33" t="str">
        <x:v>Should customer count remain independently additive for an LSE-linked incident?</x:v>
      </x:c>
      <x:c r="D12" s="31" t="str">
        <x:v>P019-LSE-L3-C100</x:v>
      </x:c>
      <x:c r="E12" s="31" t="n">
        <x:v>95</x:v>
      </x:c>
      <x:c r="F12" s="31" t="n">
        <x:v>55</x:v>
      </x:c>
      <x:c r="G12" s="31" t="str">
        <x:v>P019-LSE-L3-C001</x:v>
      </x:c>
      <x:c r="H12" s="31" t="n">
        <x:v>90</x:v>
      </x:c>
      <x:c r="I12" s="31" t="n">
        <x:v>50</x:v>
      </x:c>
      <x:c r="J12" s="31" t="str">
        <x:v>&gt;</x:v>
      </x:c>
      <x:c r="K12" s="31" t="str">
        <x:v>&gt;</x:v>
      </x:c>
      <x:c r="L12" s="32" t="str">
        <x:v>Approve</x:v>
      </x:c>
      <x:c r="M12" s="32"/>
      <x:c r="N12" s="34"/>
      <x:c r="O12" s="34"/>
      <x:c r="P12" s="34"/>
      <x:c r="Q12" s="2"/>
    </x:row>
    <x:row r="13" ht="48" customHeight="1">
      <x:c r="A13" s="31" t="str">
        <x:v>NOCF-19-20</x:v>
      </x:c>
      <x:c r="B13" s="31" t="str">
        <x:v>customer_edge</x:v>
      </x:c>
      <x:c r="C13" s="33" t="str">
        <x:v>Is the one-point change at 20 customers acceptable without a CF?</x:v>
      </x:c>
      <x:c r="D13" s="31" t="str">
        <x:v>P019-NOCF-C020</x:v>
      </x:c>
      <x:c r="E13" s="31" t="n">
        <x:v>11</x:v>
      </x:c>
      <x:c r="F13" s="31" t="n">
        <x:v>11</x:v>
      </x:c>
      <x:c r="G13" s="31" t="str">
        <x:v>P019-NOCF-C019</x:v>
      </x:c>
      <x:c r="H13" s="31" t="n">
        <x:v>10</x:v>
      </x:c>
      <x:c r="I13" s="31" t="n">
        <x:v>10</x:v>
      </x:c>
      <x:c r="J13" s="31" t="str">
        <x:v>&gt;</x:v>
      </x:c>
      <x:c r="K13" s="31" t="str">
        <x:v>&gt;</x:v>
      </x:c>
      <x:c r="L13" s="32" t="str">
        <x:v>Approve</x:v>
      </x:c>
      <x:c r="M13" s="32"/>
      <x:c r="N13" s="34"/>
      <x:c r="O13" s="34"/>
      <x:c r="P13" s="34"/>
      <x:c r="Q13" s="2"/>
    </x:row>
    <x:row r="14" ht="48" customHeight="1">
      <x:c r="A14" s="31" t="str">
        <x:v>LSE-L3-19-20</x:v>
      </x:c>
      <x:c r="B14" s="31" t="str">
        <x:v>lse_customer_edge</x:v>
      </x:c>
      <x:c r="C14" s="33" t="str">
        <x:v>Is the same customer boundary appropriate when Level 3 LSE impact is present?</x:v>
      </x:c>
      <x:c r="D14" s="31" t="str">
        <x:v>P019-LSE-L3-C020</x:v>
      </x:c>
      <x:c r="E14" s="31" t="n">
        <x:v>91</x:v>
      </x:c>
      <x:c r="F14" s="31" t="n">
        <x:v>51</x:v>
      </x:c>
      <x:c r="G14" s="31" t="str">
        <x:v>P019-LSE-L3-C019</x:v>
      </x:c>
      <x:c r="H14" s="31" t="n">
        <x:v>90</x:v>
      </x:c>
      <x:c r="I14" s="31" t="n">
        <x:v>50</x:v>
      </x:c>
      <x:c r="J14" s="31" t="str">
        <x:v>&gt;</x:v>
      </x:c>
      <x:c r="K14" s="31" t="str">
        <x:v>&gt;</x:v>
      </x:c>
      <x:c r="L14" s="32" t="str">
        <x:v>Approve</x:v>
      </x:c>
      <x:c r="M14" s="32"/>
      <x:c r="N14" s="34"/>
      <x:c r="O14" s="34"/>
      <x:c r="P14" s="34"/>
      <x:c r="Q14" s="2"/>
    </x:row>
    <x:row r="15" ht="48" customHeight="1">
      <x:c r="A15" s="31" t="str">
        <x:v>LSE-L3-C019-NOCF</x:v>
      </x:c>
      <x:c r="B15" s="31" t="str">
        <x:v>lse_customer_edge</x:v>
      </x:c>
      <x:c r="C15" s="33" t="str">
        <x:v>Is the Level 3 contribution appropriate at 19 customers?</x:v>
      </x:c>
      <x:c r="D15" s="31" t="str">
        <x:v>P019-LSE-L3-C019</x:v>
      </x:c>
      <x:c r="E15" s="31" t="n">
        <x:v>90</x:v>
      </x:c>
      <x:c r="F15" s="31" t="n">
        <x:v>50</x:v>
      </x:c>
      <x:c r="G15" s="31" t="str">
        <x:v>P019-NOCF-C019</x:v>
      </x:c>
      <x:c r="H15" s="31" t="n">
        <x:v>10</x:v>
      </x:c>
      <x:c r="I15" s="31" t="n">
        <x:v>10</x:v>
      </x:c>
      <x:c r="J15" s="31" t="str">
        <x:v>&gt;</x:v>
      </x:c>
      <x:c r="K15" s="31" t="str">
        <x:v>&gt;</x:v>
      </x:c>
      <x:c r="L15" s="32" t="str">
        <x:v>Approve</x:v>
      </x:c>
      <x:c r="M15" s="32"/>
      <x:c r="N15" s="34"/>
      <x:c r="O15" s="34"/>
      <x:c r="P15" s="34"/>
      <x:c r="Q15" s="2"/>
    </x:row>
    <x:row r="16" ht="48" customHeight="1">
      <x:c r="A16" s="31" t="str">
        <x:v>LSE-L3-C020-NOCF</x:v>
      </x:c>
      <x:c r="B16" s="31" t="str">
        <x:v>lse_customer_edge</x:v>
      </x:c>
      <x:c r="C16" s="33" t="str">
        <x:v>Is the Level 3 contribution appropriate at 20 customers?</x:v>
      </x:c>
      <x:c r="D16" s="31" t="str">
        <x:v>P019-LSE-L3-C020</x:v>
      </x:c>
      <x:c r="E16" s="31" t="n">
        <x:v>91</x:v>
      </x:c>
      <x:c r="F16" s="31" t="n">
        <x:v>51</x:v>
      </x:c>
      <x:c r="G16" s="31" t="str">
        <x:v>P019-NOCF-C020</x:v>
      </x:c>
      <x:c r="H16" s="31" t="n">
        <x:v>11</x:v>
      </x:c>
      <x:c r="I16" s="31" t="n">
        <x:v>11</x:v>
      </x:c>
      <x:c r="J16" s="31" t="str">
        <x:v>&gt;</x:v>
      </x:c>
      <x:c r="K16" s="31" t="str">
        <x:v>&gt;</x:v>
      </x:c>
      <x:c r="L16" s="32" t="str">
        <x:v>Approve</x:v>
      </x:c>
      <x:c r="M16" s="32"/>
      <x:c r="N16" s="34"/>
      <x:c r="O16" s="34"/>
      <x:c r="P16" s="34"/>
      <x:c r="Q16" s="2"/>
    </x:row>
    <x:row r="17" ht="48" customHeight="1">
      <x:c r="A17" s="31" t="str">
        <x:v>MULTI-L1-L2</x:v>
      </x:c>
      <x:c r="B17" s="31" t="str">
        <x:v>multiple_facilities</x:v>
      </x:c>
      <x:c r="C17" s="33" t="str">
        <x:v>Should only the highest facility level apply once on a feeder?</x:v>
      </x:c>
      <x:c r="D17" s="31" t="str">
        <x:v>P019-MULTI-L1-L3</x:v>
      </x:c>
      <x:c r="E17" s="31" t="n">
        <x:v>90</x:v>
      </x:c>
      <x:c r="F17" s="31" t="n">
        <x:v>130</x:v>
      </x:c>
      <x:c r="G17" s="31" t="str">
        <x:v>P019-MULTI-L2-L3</x:v>
      </x:c>
      <x:c r="H17" s="31" t="n">
        <x:v>90</x:v>
      </x:c>
      <x:c r="I17" s="31" t="n">
        <x:v>90</x:v>
      </x:c>
      <x:c r="J17" s="31" t="str">
        <x:v>=</x:v>
      </x:c>
      <x:c r="K17" s="31" t="str">
        <x:v>&gt;</x:v>
      </x:c>
      <x:c r="L17" s="32" t="str">
        <x:v>Approve</x:v>
      </x:c>
      <x:c r="M17" s="32"/>
      <x:c r="N17" s="34"/>
      <x:c r="O17" s="34"/>
      <x:c r="P17" s="34"/>
      <x:c r="Q17" s="2"/>
    </x:row>
    <x:row r="18" ht="48" customHeight="1">
      <x:c r="A18" s="31" t="str">
        <x:v>HAZ-MED-HIGH</x:v>
      </x:c>
      <x:c r="B18" s="31" t="str">
        <x:v>hazard_severity</x:v>
      </x:c>
      <x:c r="C18" s="33" t="str">
        <x:v>Should medium severity with a hazard outrank high severity without one?</x:v>
      </x:c>
      <x:c r="D18" s="31" t="str">
        <x:v>P019-HAZ-MED</x:v>
      </x:c>
      <x:c r="E18" s="31" t="n">
        <x:v>100</x:v>
      </x:c>
      <x:c r="F18" s="31" t="n">
        <x:v>100</x:v>
      </x:c>
      <x:c r="G18" s="31" t="str">
        <x:v>P019-NOHAZ-HIGH</x:v>
      </x:c>
      <x:c r="H18" s="31" t="n">
        <x:v>80</x:v>
      </x:c>
      <x:c r="I18" s="31" t="n">
        <x:v>80</x:v>
      </x:c>
      <x:c r="J18" s="31" t="str">
        <x:v>&gt;</x:v>
      </x:c>
      <x:c r="K18" s="31" t="str">
        <x:v>&gt;</x:v>
      </x:c>
      <x:c r="L18" s="32" t="str">
        <x:v>Approve</x:v>
      </x:c>
      <x:c r="M18" s="32"/>
      <x:c r="N18" s="34"/>
      <x:c r="O18" s="34"/>
      <x:c r="P18" s="34"/>
      <x:c r="Q18" s="2"/>
    </x:row>
    <x:row r="19" ht="48" customHeight="1">
      <x:c r="A19" s="31" t="str">
        <x:v>HAZ-LOW-HIGH</x:v>
      </x:c>
      <x:c r="B19" s="31" t="str">
        <x:v>hazard_precedence</x:v>
      </x:c>
      <x:c r="C19" s="33" t="str">
        <x:v>Within the same score band, should a hazardous incident rank ahead of a non-hazardous incident regardless of severity or numeric score?</x:v>
      </x:c>
      <x:c r="D19" s="31" t="str">
        <x:v>P019-HAZ-LOW</x:v>
      </x:c>
      <x:c r="E19" s="31" t="n">
        <x:v>70</x:v>
      </x:c>
      <x:c r="F19" s="31" t="n">
        <x:v>70</x:v>
      </x:c>
      <x:c r="G19" s="31" t="str">
        <x:v>P019-NOHAZ-HIGH</x:v>
      </x:c>
      <x:c r="H19" s="31" t="n">
        <x:v>80</x:v>
      </x:c>
      <x:c r="I19" s="31" t="n">
        <x:v>80</x:v>
      </x:c>
      <x:c r="J19" s="31" t="str">
        <x:v>&lt;</x:v>
      </x:c>
      <x:c r="K19" s="31" t="str">
        <x:v>&gt;</x:v>
      </x:c>
      <x:c r="L19" s="32"/>
      <x:c r="M19" s="32"/>
      <x:c r="N19" s="34"/>
      <x:c r="O19" s="34"/>
      <x:c r="P19" s="34"/>
      <x:c r="Q19" s="2"/>
    </x:row>
    <x:row r="20" ht="48" customHeight="1">
      <x:c r="A20" s="31" t="str">
        <x:v>SEVERITY-TIE</x:v>
      </x:c>
      <x:c r="B20" s="31" t="str">
        <x:v>severity_precedence</x:v>
      </x:c>
      <x:c r="C20" s="33" t="str">
        <x:v>When totals tie, should severity remain the first tie-break?</x:v>
      </x:c>
      <x:c r="D20" s="31" t="str">
        <x:v>P019-SEV-MED-C600</x:v>
      </x:c>
      <x:c r="E20" s="31" t="n">
        <x:v>70</x:v>
      </x:c>
      <x:c r="F20" s="31" t="n">
        <x:v>70</x:v>
      </x:c>
      <x:c r="G20" s="31" t="str">
        <x:v>P019-HAZ-LOW</x:v>
      </x:c>
      <x:c r="H20" s="31" t="n">
        <x:v>70</x:v>
      </x:c>
      <x:c r="I20" s="31" t="n">
        <x:v>70</x:v>
      </x:c>
      <x:c r="J20" s="31" t="str">
        <x:v>=</x:v>
      </x:c>
      <x:c r="K20" s="31" t="str">
        <x:v>=</x:v>
      </x:c>
      <x:c r="L20" s="32" t="str">
        <x:v>Approve</x:v>
      </x:c>
      <x:c r="M20" s="32"/>
      <x:c r="N20" s="34"/>
      <x:c r="O20" s="34"/>
      <x:c r="P20" s="34"/>
      <x:c r="Q20" s="2"/>
    </x:row>
    <x:row r="21" ht="48" customHeight="1">
      <x:c r="A21" s="31" t="str">
        <x:v>CF-BEFORE-AGE</x:v>
      </x:c>
      <x:c r="B21" s="31" t="str">
        <x:v>cf_before_age</x:v>
      </x:c>
      <x:c r="C21" s="33" t="str">
        <x:v>When totals tie, should known CF level precede incident age?</x:v>
      </x:c>
      <x:c r="D21" s="31" t="str">
        <x:v>P019-CF-BEFORE-AGE</x:v>
      </x:c>
      <x:c r="E21" s="31" t="n">
        <x:v>90</x:v>
      </x:c>
      <x:c r="F21" s="31" t="n">
        <x:v>90</x:v>
      </x:c>
      <x:c r="G21" s="31" t="str">
        <x:v>P019-OLDER-NOCF</x:v>
      </x:c>
      <x:c r="H21" s="31" t="n">
        <x:v>90</x:v>
      </x:c>
      <x:c r="I21" s="31" t="n">
        <x:v>90</x:v>
      </x:c>
      <x:c r="J21" s="31" t="str">
        <x:v>=</x:v>
      </x:c>
      <x:c r="K21" s="31" t="str">
        <x:v>=</x:v>
      </x:c>
      <x:c r="L21" s="32" t="str">
        <x:v>Approve</x:v>
      </x:c>
      <x:c r="M21" s="32"/>
      <x:c r="N21" s="34"/>
      <x:c r="O21" s="34"/>
      <x:c r="P21" s="34"/>
      <x:c r="Q21" s="2"/>
    </x:row>
    <x:row r="22" ht="48" customHeight="1">
      <x:c r="A22" s="31" t="str">
        <x:v>SAME-HAZARD-GUARD</x:v>
      </x:c>
      <x:c r="B22" s="31" t="str">
        <x:v>hazard_guard</x:v>
      </x:c>
      <x:c r="C22" s="33" t="str">
        <x:v>When both incidents are non-hazardous and in the same score band, should the higher score retain priority?</x:v>
      </x:c>
      <x:c r="D22" s="31" t="str">
        <x:v>P019-NOHAZ-HIGH</x:v>
      </x:c>
      <x:c r="E22" s="31" t="n">
        <x:v>80</x:v>
      </x:c>
      <x:c r="F22" s="31" t="n">
        <x:v>80</x:v>
      </x:c>
      <x:c r="G22" s="31" t="str">
        <x:v>P019-SEV-MED-C600</x:v>
      </x:c>
      <x:c r="H22" s="31" t="n">
        <x:v>70</x:v>
      </x:c>
      <x:c r="I22" s="31" t="n">
        <x:v>70</x:v>
      </x:c>
      <x:c r="J22" s="31" t="str">
        <x:v>&gt;</x:v>
      </x:c>
      <x:c r="K22" s="31" t="str">
        <x:v>&gt;</x:v>
      </x:c>
      <x:c r="L22" s="39"/>
      <x:c r="M22" s="39"/>
      <x:c r="N22" s="40"/>
      <x:c r="O22" s="40"/>
      <x:c r="P22" s="40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</x:sheetData>
  <x:mergeCells>
    <x:mergeCell ref="A2:P2"/>
    <x:mergeCell ref="A3:P3"/>
  </x:mergeCells>
  <x:conditionalFormatting sqref="L6:L21">
    <x:cfRule type="containsText" dxfId="0" priority="1" operator="containsText" text="Approve"/>
    <x:cfRule type="containsText" dxfId="1" priority="2" operator="containsText" text="Revise"/>
  </x:conditionalFormatting>
  <x:conditionalFormatting sqref="L22:L22">
    <x:cfRule type="containsText" dxfId="4" priority="3" operator="containsText" text="Approve"/>
    <x:cfRule type="containsText" dxfId="5" priority="4" operator="containsText" text="Revise"/>
  </x:conditionalFormatting>
  <x:dataValidations count="6">
    <x:dataValidation type="list" sqref="L6:L21">
      <x:formula1>"Approve,Revise,Defer,Not realistic"</x:formula1>
    </x:dataValidation>
    <x:dataValidation type="list" sqref="M6:M21">
      <x:formula1>"Left incident,Right incident,Tie acceptable,Needs more context,Not applicable"</x:formula1>
    </x:dataValidation>
    <x:dataValidation type="list" sqref="P6:P21">
      <x:formula1>"No,Yes"</x:formula1>
    </x:dataValidation>
    <x:dataValidation type="list" sqref="L22">
      <x:formula1>"Approve,Revise,Defer,Not realistic"</x:formula1>
    </x:dataValidation>
    <x:dataValidation type="list" sqref="M22">
      <x:formula1>"Left incident,Right incident,Tie acceptable,Needs more context,Not applicable"</x:formula1>
    </x:dataValidation>
    <x:dataValidation type="list" sqref="P22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0d3a8a61fa4cd6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56" hidden="0" customWidth="1"/>
    <x:col min="3" max="3" width="16" hidden="0" customWidth="1"/>
    <x:col min="4" max="4" width="28" hidden="0" customWidth="1"/>
    <x:col min="5" max="5" width="40" hidden="0" customWidth="1"/>
    <x:col min="6" max="6" width="4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9" t="str">
        <x:v>Cross-cutting policy decisions</x:v>
      </x:c>
      <x:c r="B2" s="29"/>
      <x:c r="C2" s="29"/>
      <x:c r="D2" s="29"/>
      <x:c r="E2" s="29"/>
      <x:c r="F2" s="29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30" t="str">
        <x:v>Resolve these questions before approving a complete scenario or any scoring-engine change.</x:v>
      </x:c>
      <x:c r="B3" s="30"/>
      <x:c r="C3" s="30"/>
      <x:c r="D3" s="30"/>
      <x:c r="E3" s="30"/>
      <x:c r="F3" s="30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Policy area</x:v>
      </x:c>
      <x:c r="B5" s="2" t="str">
        <x:v>Current evaluation proposal</x:v>
      </x:c>
      <x:c r="C5" s="2" t="str">
        <x:v>SME decision</x:v>
      </x:c>
      <x:c r="D5" s="2" t="str">
        <x:v>Approved value or outcome</x:v>
      </x:c>
      <x:c r="E5" s="2" t="str">
        <x:v>Rationale</x:v>
      </x:c>
      <x:c r="F5" s="2" t="str">
        <x:v>Additional case or follow-up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48" customHeight="1">
      <x:c r="A6" s="33" t="str">
        <x:v>Level 1 weight</x:v>
      </x:c>
      <x:c r="B6" s="33" t="str">
        <x:v>Illustrative contribution: 120</x:v>
      </x:c>
      <x:c r="C6" s="34" t="str">
        <x:v>Approve</x:v>
      </x:c>
      <x:c r="D6" s="34"/>
      <x:c r="E6" s="34"/>
      <x:c r="F6" s="34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48" customHeight="1">
      <x:c r="A7" s="33" t="str">
        <x:v>Level 2 weight</x:v>
      </x:c>
      <x:c r="B7" s="33" t="str">
        <x:v>Illustrative contribution: 80</x:v>
      </x:c>
      <x:c r="C7" s="34" t="str">
        <x:v>Approve</x:v>
      </x:c>
      <x:c r="D7" s="34"/>
      <x:c r="E7" s="34"/>
      <x:c r="F7" s="34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48" customHeight="1">
      <x:c r="A8" s="33" t="str">
        <x:v>Level 3 weight</x:v>
      </x:c>
      <x:c r="B8" s="33" t="str">
        <x:v>Illustrative contribution: 40</x:v>
      </x:c>
      <x:c r="C8" s="34" t="str">
        <x:v>Approve</x:v>
      </x:c>
      <x:c r="D8" s="34"/>
      <x:c r="E8" s="34"/>
      <x:c r="F8" s="34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48" customHeight="1">
      <x:c r="A9" s="33" t="str">
        <x:v>LSE treatment</x:v>
      </x:c>
      <x:c r="B9" s="33" t="str">
        <x:v>Use Level 3 contribution; customer count remains independently additive</x:v>
      </x:c>
      <x:c r="C9" s="34" t="str">
        <x:v>Approve</x:v>
      </x:c>
      <x:c r="D9" s="34"/>
      <x:c r="E9" s="34"/>
      <x:c r="F9" s="34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48" customHeight="1">
      <x:c r="A10" s="33" t="str">
        <x:v>Multiple facilities</x:v>
      </x:c>
      <x:c r="B10" s="33" t="str">
        <x:v>Apply only the highest known level once per incident</x:v>
      </x:c>
      <x:c r="C10" s="34" t="str">
        <x:v>Approve</x:v>
      </x:c>
      <x:c r="D10" s="34"/>
      <x:c r="E10" s="34"/>
      <x:c r="F10" s="34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48" customHeight="1">
      <x:c r="A11" s="33" t="str">
        <x:v>Unknown CF</x:v>
      </x:c>
      <x:c r="B11" s="33" t="str">
        <x:v>Withhold candidate score and show a data-quality warning</x:v>
      </x:c>
      <x:c r="C11" s="34" t="str">
        <x:v>Approve</x:v>
      </x:c>
      <x:c r="D11" s="34"/>
      <x:c r="E11" s="34"/>
      <x:c r="F11" s="34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48" customHeight="1">
      <x:c r="A12" s="33" t="str">
        <x:v>CF before age</x:v>
      </x:c>
      <x:c r="B12" s="33" t="str">
        <x:v>After equal total and severity, prefer known CF level before age</x:v>
      </x:c>
      <x:c r="C12" s="34" t="str">
        <x:v>Approve</x:v>
      </x:c>
      <x:c r="D12" s="34"/>
      <x:c r="E12" s="34"/>
      <x:c r="F12" s="34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48" customHeight="1">
      <x:c r="A13" s="33" t="str">
        <x:v>Score bands</x:v>
      </x:c>
      <x:c r="B13" s="33" t="str">
        <x:v>Evaluation-only bands: 0-99, 100-199, 200-299, 300+</x:v>
      </x:c>
      <x:c r="C13" s="34" t="str">
        <x:v>Approve</x:v>
      </x:c>
      <x:c r="D13" s="34"/>
      <x:c r="E13" s="34"/>
      <x:c r="F13" s="34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48" customHeight="1">
      <x:c r="A14" s="33" t="str">
        <x:v>Override examples</x:v>
      </x:c>
      <x:c r="B14" s="33" t="str">
        <x:v>Escalation entered as free-text reason under the existing Override action; preserve the original recommendation and do not edit scores or automatically reorder the queue</x:v>
      </x:c>
      <x:c r="C14" s="34" t="str">
        <x:v>Approve</x:v>
      </x:c>
      <x:c r="D14" s="34" t="str">
        <x:v>Escalation is a reason example under the existing overridden action</x:v>
      </x:c>
      <x:c r="E14" s="34" t="str">
        <x:v>Used when a dispatcher rejects the recommended ordering based on supervisor direction or other operational context</x:v>
      </x:c>
      <x:c r="F14" s="34" t="str">
        <x:v>No GUI or API action change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48" customHeight="1">
      <x:c r="A15" s="33" t="str">
        <x:v>Complete scenario</x:v>
      </x:c>
      <x:c r="B15" s="33" t="str">
        <x:v>Generate only after this sample is approved</x:v>
      </x:c>
      <x:c r="C15" s="34" t="str">
        <x:v>Approve</x:v>
      </x:c>
      <x:c r="D15" s="34"/>
      <x:c r="E15" s="34"/>
      <x:c r="F15" s="34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</x:sheetData>
  <x:mergeCells>
    <x:mergeCell ref="A2:F2"/>
    <x:mergeCell ref="A3:F3"/>
  </x:mergeCells>
  <x:conditionalFormatting sqref="C6:C15">
    <x:cfRule type="containsText" dxfId="2" priority="1" operator="containsText" text="Approve"/>
    <x:cfRule type="containsText" dxfId="3" priority="2" operator="containsText" text="Revise"/>
  </x:conditionalFormatting>
  <x:dataValidations count="1">
    <x:dataValidation type="list" sqref="C6:C15">
      <x:formula1>"Approve,Revise,Defer,Not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c129e776eb4a6d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52" hidden="0" customWidth="1"/>
    <x:col min="4" max="4" width="20" hidden="0" customWidth="1"/>
    <x:col min="5" max="5" width="20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4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9" t="str">
        <x:v>Read-only scoring evidence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"/>
      <x:c r="L2" s="2"/>
      <x:c r="M2" s="2"/>
      <x:c r="N2" s="2"/>
      <x:c r="O2" s="2"/>
      <x:c r="P2" s="2"/>
      <x:c r="Q2" s="2"/>
    </x:row>
    <x:row r="3">
      <x:c r="A3" s="30" t="str">
        <x:v>Source values from the deterministic sample. Enter SME responses only on the review tabs.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31" t="str">
        <x:v>Incident ID</x:v>
      </x:c>
      <x:c r="B5" s="31" t="str">
        <x:v>Severity</x:v>
      </x:c>
      <x:c r="C5" s="31" t="str">
        <x:v>Customers</x:v>
      </x:c>
      <x:c r="D5" s="31" t="str">
        <x:v>CF</x:v>
      </x:c>
      <x:c r="E5" s="31" t="str">
        <x:v>Resolved level</x:v>
      </x:c>
      <x:c r="F5" s="31" t="str">
        <x:v>Hazard</x:v>
      </x:c>
      <x:c r="G5" s="31" t="str">
        <x:v>Age minutes</x:v>
      </x:c>
      <x:c r="H5" s="31" t="str">
        <x:v>Baseline score</x:v>
      </x:c>
      <x:c r="I5" s="31" t="str">
        <x:v>Candidate score</x:v>
      </x:c>
      <x:c r="J5" s="31" t="str">
        <x:v>Warning</x:v>
      </x:c>
      <x:c r="K5" s="2"/>
      <x:c r="L5" s="2"/>
      <x:c r="M5" s="2"/>
      <x:c r="N5" s="2"/>
      <x:c r="O5" s="2"/>
      <x:c r="P5" s="2"/>
      <x:c r="Q5" s="2"/>
    </x:row>
    <x:row r="6">
      <x:c r="A6" s="31" t="str">
        <x:v>P019-L1</x:v>
      </x:c>
      <x:c r="B6" s="31" t="str">
        <x:v>low</x:v>
      </x:c>
      <x:c r="C6" s="31" t="n">
        <x:v>1</x:v>
      </x:c>
      <x:c r="D6" s="37" t="b">
        <x:v>1</x:v>
      </x:c>
      <x:c r="E6" s="31" t="n">
        <x:v>1</x:v>
      </x:c>
      <x:c r="F6" s="31" t="str">
        <x:v>none</x:v>
      </x:c>
      <x:c r="G6" s="31" t="n">
        <x:v>0</x:v>
      </x:c>
      <x:c r="H6" s="31" t="n">
        <x:v>90</x:v>
      </x:c>
      <x:c r="I6" s="31" t="n">
        <x:v>130</x:v>
      </x:c>
      <x:c r="J6" s="31"/>
      <x:c r="K6" s="2"/>
      <x:c r="L6" s="2"/>
      <x:c r="M6" s="2"/>
      <x:c r="N6" s="2"/>
      <x:c r="O6" s="2"/>
      <x:c r="P6" s="2"/>
      <x:c r="Q6" s="2"/>
    </x:row>
    <x:row r="7">
      <x:c r="A7" s="31" t="str">
        <x:v>P019-L1-NONE</x:v>
      </x:c>
      <x:c r="B7" s="31" t="str">
        <x:v>low</x:v>
      </x:c>
      <x:c r="C7" s="31" t="n">
        <x:v>1</x:v>
      </x:c>
      <x:c r="D7" s="37" t="b">
        <x:v>0</x:v>
      </x:c>
      <x:c r="E7" s="31"/>
      <x:c r="F7" s="31" t="str">
        <x:v>none</x:v>
      </x:c>
      <x:c r="G7" s="31" t="n">
        <x:v>0</x:v>
      </x:c>
      <x:c r="H7" s="31" t="n">
        <x:v>10</x:v>
      </x:c>
      <x:c r="I7" s="31" t="n">
        <x:v>10</x:v>
      </x:c>
      <x:c r="J7" s="31"/>
      <x:c r="K7" s="2"/>
      <x:c r="L7" s="2"/>
      <x:c r="M7" s="2"/>
      <x:c r="N7" s="2"/>
      <x:c r="O7" s="2"/>
      <x:c r="P7" s="2"/>
      <x:c r="Q7" s="2"/>
    </x:row>
    <x:row r="8">
      <x:c r="A8" s="31" t="str">
        <x:v>P019-L2</x:v>
      </x:c>
      <x:c r="B8" s="31" t="str">
        <x:v>low</x:v>
      </x:c>
      <x:c r="C8" s="31" t="n">
        <x:v>1</x:v>
      </x:c>
      <x:c r="D8" s="37" t="b">
        <x:v>1</x:v>
      </x:c>
      <x:c r="E8" s="31" t="n">
        <x:v>2</x:v>
      </x:c>
      <x:c r="F8" s="31" t="str">
        <x:v>none</x:v>
      </x:c>
      <x:c r="G8" s="31" t="n">
        <x:v>0</x:v>
      </x:c>
      <x:c r="H8" s="31" t="n">
        <x:v>90</x:v>
      </x:c>
      <x:c r="I8" s="31" t="n">
        <x:v>90</x:v>
      </x:c>
      <x:c r="J8" s="31"/>
      <x:c r="K8" s="2"/>
      <x:c r="L8" s="2"/>
      <x:c r="M8" s="2"/>
      <x:c r="N8" s="2"/>
      <x:c r="O8" s="2"/>
      <x:c r="P8" s="2"/>
      <x:c r="Q8" s="2"/>
    </x:row>
    <x:row r="9">
      <x:c r="A9" s="31" t="str">
        <x:v>P019-L2-NONE</x:v>
      </x:c>
      <x:c r="B9" s="31" t="str">
        <x:v>low</x:v>
      </x:c>
      <x:c r="C9" s="31" t="n">
        <x:v>1</x:v>
      </x:c>
      <x:c r="D9" s="37" t="b">
        <x:v>0</x:v>
      </x:c>
      <x:c r="E9" s="31"/>
      <x:c r="F9" s="31" t="str">
        <x:v>none</x:v>
      </x:c>
      <x:c r="G9" s="31" t="n">
        <x:v>0</x:v>
      </x:c>
      <x:c r="H9" s="31" t="n">
        <x:v>10</x:v>
      </x:c>
      <x:c r="I9" s="31" t="n">
        <x:v>10</x:v>
      </x:c>
      <x:c r="J9" s="31"/>
      <x:c r="K9" s="2"/>
      <x:c r="L9" s="2"/>
      <x:c r="M9" s="2"/>
      <x:c r="N9" s="2"/>
      <x:c r="O9" s="2"/>
      <x:c r="P9" s="2"/>
      <x:c r="Q9" s="2"/>
    </x:row>
    <x:row r="10">
      <x:c r="A10" s="31" t="str">
        <x:v>P019-L3</x:v>
      </x:c>
      <x:c r="B10" s="31" t="str">
        <x:v>low</x:v>
      </x:c>
      <x:c r="C10" s="31" t="n">
        <x:v>1</x:v>
      </x:c>
      <x:c r="D10" s="37" t="b">
        <x:v>1</x:v>
      </x:c>
      <x:c r="E10" s="31" t="n">
        <x:v>3</x:v>
      </x:c>
      <x:c r="F10" s="31" t="str">
        <x:v>none</x:v>
      </x:c>
      <x:c r="G10" s="31" t="n">
        <x:v>0</x:v>
      </x:c>
      <x:c r="H10" s="31" t="n">
        <x:v>90</x:v>
      </x:c>
      <x:c r="I10" s="31" t="n">
        <x:v>50</x:v>
      </x:c>
      <x:c r="J10" s="31"/>
      <x:c r="K10" s="2"/>
      <x:c r="L10" s="2"/>
      <x:c r="M10" s="2"/>
      <x:c r="N10" s="2"/>
      <x:c r="O10" s="2"/>
      <x:c r="P10" s="2"/>
      <x:c r="Q10" s="2"/>
    </x:row>
    <x:row r="11">
      <x:c r="A11" s="31" t="str">
        <x:v>P019-L3-NONE</x:v>
      </x:c>
      <x:c r="B11" s="31" t="str">
        <x:v>low</x:v>
      </x:c>
      <x:c r="C11" s="31" t="n">
        <x:v>1</x:v>
      </x:c>
      <x:c r="D11" s="37" t="b">
        <x:v>0</x:v>
      </x:c>
      <x:c r="E11" s="31"/>
      <x:c r="F11" s="31" t="str">
        <x:v>none</x:v>
      </x:c>
      <x:c r="G11" s="31" t="n">
        <x:v>0</x:v>
      </x:c>
      <x:c r="H11" s="31" t="n">
        <x:v>10</x:v>
      </x:c>
      <x:c r="I11" s="31" t="n">
        <x:v>10</x:v>
      </x:c>
      <x:c r="J11" s="31"/>
      <x:c r="K11" s="2"/>
      <x:c r="L11" s="2"/>
      <x:c r="M11" s="2"/>
      <x:c r="N11" s="2"/>
      <x:c r="O11" s="2"/>
      <x:c r="P11" s="2"/>
      <x:c r="Q11" s="2"/>
    </x:row>
    <x:row r="12">
      <x:c r="A12" s="31" t="str">
        <x:v>P019-UNKNOWN</x:v>
      </x:c>
      <x:c r="B12" s="31" t="str">
        <x:v>low</x:v>
      </x:c>
      <x:c r="C12" s="31" t="n">
        <x:v>1</x:v>
      </x:c>
      <x:c r="D12" s="37" t="b">
        <x:v>1</x:v>
      </x:c>
      <x:c r="E12" s="31"/>
      <x:c r="F12" s="31" t="str">
        <x:v>none</x:v>
      </x:c>
      <x:c r="G12" s="31" t="n">
        <x:v>0</x:v>
      </x:c>
      <x:c r="H12" s="31" t="n">
        <x:v>90</x:v>
      </x:c>
      <x:c r="I12" s="31" t="str">
        <x:v>Review required</x:v>
      </x:c>
      <x:c r="J12" s="31" t="str">
        <x:v>unknown_critical_facility_level:FAC-UNKNOWN</x:v>
      </x:c>
      <x:c r="K12" s="2"/>
      <x:c r="L12" s="2"/>
      <x:c r="M12" s="2"/>
      <x:c r="N12" s="2"/>
      <x:c r="O12" s="2"/>
      <x:c r="P12" s="2"/>
      <x:c r="Q12" s="2"/>
    </x:row>
    <x:row r="13">
      <x:c r="A13" s="31" t="str">
        <x:v>P019-UNKNOWN-NONE</x:v>
      </x:c>
      <x:c r="B13" s="31" t="str">
        <x:v>low</x:v>
      </x:c>
      <x:c r="C13" s="31" t="n">
        <x:v>1</x:v>
      </x:c>
      <x:c r="D13" s="37" t="b">
        <x:v>0</x:v>
      </x:c>
      <x:c r="E13" s="31"/>
      <x:c r="F13" s="31" t="str">
        <x:v>none</x:v>
      </x:c>
      <x:c r="G13" s="31" t="n">
        <x:v>0</x:v>
      </x:c>
      <x:c r="H13" s="31" t="n">
        <x:v>10</x:v>
      </x:c>
      <x:c r="I13" s="31" t="n">
        <x:v>10</x:v>
      </x:c>
      <x:c r="J13" s="31"/>
      <x:c r="K13" s="2"/>
      <x:c r="L13" s="2"/>
      <x:c r="M13" s="2"/>
      <x:c r="N13" s="2"/>
      <x:c r="O13" s="2"/>
      <x:c r="P13" s="2"/>
      <x:c r="Q13" s="2"/>
    </x:row>
    <x:row r="14">
      <x:c r="A14" s="31" t="str">
        <x:v>P019-LSE-L3-C001</x:v>
      </x:c>
      <x:c r="B14" s="31" t="str">
        <x:v>low</x:v>
      </x:c>
      <x:c r="C14" s="31" t="n">
        <x:v>1</x:v>
      </x:c>
      <x:c r="D14" s="37" t="b">
        <x:v>1</x:v>
      </x:c>
      <x:c r="E14" s="31" t="n">
        <x:v>3</x:v>
      </x:c>
      <x:c r="F14" s="31" t="str">
        <x:v>none</x:v>
      </x:c>
      <x:c r="G14" s="31" t="n">
        <x:v>0</x:v>
      </x:c>
      <x:c r="H14" s="31" t="n">
        <x:v>90</x:v>
      </x:c>
      <x:c r="I14" s="31" t="n">
        <x:v>50</x:v>
      </x:c>
      <x:c r="J14" s="31"/>
      <x:c r="K14" s="2"/>
      <x:c r="L14" s="2"/>
      <x:c r="M14" s="2"/>
      <x:c r="N14" s="2"/>
      <x:c r="O14" s="2"/>
      <x:c r="P14" s="2"/>
      <x:c r="Q14" s="2"/>
    </x:row>
    <x:row r="15">
      <x:c r="A15" s="31" t="str">
        <x:v>P019-LSE-L3-C019</x:v>
      </x:c>
      <x:c r="B15" s="31" t="str">
        <x:v>low</x:v>
      </x:c>
      <x:c r="C15" s="31" t="n">
        <x:v>19</x:v>
      </x:c>
      <x:c r="D15" s="37" t="b">
        <x:v>1</x:v>
      </x:c>
      <x:c r="E15" s="31" t="n">
        <x:v>3</x:v>
      </x:c>
      <x:c r="F15" s="31" t="str">
        <x:v>none</x:v>
      </x:c>
      <x:c r="G15" s="31" t="n">
        <x:v>0</x:v>
      </x:c>
      <x:c r="H15" s="31" t="n">
        <x:v>90</x:v>
      </x:c>
      <x:c r="I15" s="31" t="n">
        <x:v>50</x:v>
      </x:c>
      <x:c r="J15" s="31"/>
      <x:c r="K15" s="2"/>
      <x:c r="L15" s="2"/>
      <x:c r="M15" s="2"/>
      <x:c r="N15" s="2"/>
      <x:c r="O15" s="2"/>
      <x:c r="P15" s="2"/>
      <x:c r="Q15" s="2"/>
    </x:row>
    <x:row r="16">
      <x:c r="A16" s="31" t="str">
        <x:v>P019-LSE-L3-C020</x:v>
      </x:c>
      <x:c r="B16" s="31" t="str">
        <x:v>low</x:v>
      </x:c>
      <x:c r="C16" s="31" t="n">
        <x:v>20</x:v>
      </x:c>
      <x:c r="D16" s="37" t="b">
        <x:v>1</x:v>
      </x:c>
      <x:c r="E16" s="31" t="n">
        <x:v>3</x:v>
      </x:c>
      <x:c r="F16" s="31" t="str">
        <x:v>none</x:v>
      </x:c>
      <x:c r="G16" s="31" t="n">
        <x:v>0</x:v>
      </x:c>
      <x:c r="H16" s="31" t="n">
        <x:v>91</x:v>
      </x:c>
      <x:c r="I16" s="31" t="n">
        <x:v>51</x:v>
      </x:c>
      <x:c r="J16" s="31"/>
      <x:c r="K16" s="2"/>
      <x:c r="L16" s="2"/>
      <x:c r="M16" s="2"/>
      <x:c r="N16" s="2"/>
      <x:c r="O16" s="2"/>
      <x:c r="P16" s="2"/>
      <x:c r="Q16" s="2"/>
    </x:row>
    <x:row r="17">
      <x:c r="A17" s="31" t="str">
        <x:v>P019-LSE-L3-C100</x:v>
      </x:c>
      <x:c r="B17" s="31" t="str">
        <x:v>low</x:v>
      </x:c>
      <x:c r="C17" s="31" t="n">
        <x:v>100</x:v>
      </x:c>
      <x:c r="D17" s="37" t="b">
        <x:v>1</x:v>
      </x:c>
      <x:c r="E17" s="31" t="n">
        <x:v>3</x:v>
      </x:c>
      <x:c r="F17" s="31" t="str">
        <x:v>none</x:v>
      </x:c>
      <x:c r="G17" s="31" t="n">
        <x:v>0</x:v>
      </x:c>
      <x:c r="H17" s="31" t="n">
        <x:v>95</x:v>
      </x:c>
      <x:c r="I17" s="31" t="n">
        <x:v>55</x:v>
      </x:c>
      <x:c r="J17" s="31"/>
      <x:c r="K17" s="2"/>
      <x:c r="L17" s="2"/>
      <x:c r="M17" s="2"/>
      <x:c r="N17" s="2"/>
      <x:c r="O17" s="2"/>
      <x:c r="P17" s="2"/>
      <x:c r="Q17" s="2"/>
    </x:row>
    <x:row r="18">
      <x:c r="A18" s="31" t="str">
        <x:v>P019-NOCF-C019</x:v>
      </x:c>
      <x:c r="B18" s="31" t="str">
        <x:v>low</x:v>
      </x:c>
      <x:c r="C18" s="31" t="n">
        <x:v>19</x:v>
      </x:c>
      <x:c r="D18" s="37" t="b">
        <x:v>0</x:v>
      </x:c>
      <x:c r="E18" s="31"/>
      <x:c r="F18" s="31" t="str">
        <x:v>none</x:v>
      </x:c>
      <x:c r="G18" s="31" t="n">
        <x:v>0</x:v>
      </x:c>
      <x:c r="H18" s="31" t="n">
        <x:v>10</x:v>
      </x:c>
      <x:c r="I18" s="31" t="n">
        <x:v>10</x:v>
      </x:c>
      <x:c r="J18" s="31"/>
      <x:c r="K18" s="2"/>
      <x:c r="L18" s="2"/>
      <x:c r="M18" s="2"/>
      <x:c r="N18" s="2"/>
      <x:c r="O18" s="2"/>
      <x:c r="P18" s="2"/>
      <x:c r="Q18" s="2"/>
    </x:row>
    <x:row r="19">
      <x:c r="A19" s="31" t="str">
        <x:v>P019-NOCF-C020</x:v>
      </x:c>
      <x:c r="B19" s="31" t="str">
        <x:v>low</x:v>
      </x:c>
      <x:c r="C19" s="31" t="n">
        <x:v>20</x:v>
      </x:c>
      <x:c r="D19" s="37" t="b">
        <x:v>0</x:v>
      </x:c>
      <x:c r="E19" s="31"/>
      <x:c r="F19" s="31" t="str">
        <x:v>none</x:v>
      </x:c>
      <x:c r="G19" s="31" t="n">
        <x:v>0</x:v>
      </x:c>
      <x:c r="H19" s="31" t="n">
        <x:v>11</x:v>
      </x:c>
      <x:c r="I19" s="31" t="n">
        <x:v>11</x:v>
      </x:c>
      <x:c r="J19" s="31"/>
      <x:c r="K19" s="2"/>
      <x:c r="L19" s="2"/>
      <x:c r="M19" s="2"/>
      <x:c r="N19" s="2"/>
      <x:c r="O19" s="2"/>
      <x:c r="P19" s="2"/>
      <x:c r="Q19" s="2"/>
    </x:row>
    <x:row r="20">
      <x:c r="A20" s="31" t="str">
        <x:v>P019-MULTI-L1-L3</x:v>
      </x:c>
      <x:c r="B20" s="31" t="str">
        <x:v>low</x:v>
      </x:c>
      <x:c r="C20" s="31" t="n">
        <x:v>1</x:v>
      </x:c>
      <x:c r="D20" s="37" t="b">
        <x:v>1</x:v>
      </x:c>
      <x:c r="E20" s="31" t="n">
        <x:v>1</x:v>
      </x:c>
      <x:c r="F20" s="31" t="str">
        <x:v>none</x:v>
      </x:c>
      <x:c r="G20" s="31" t="n">
        <x:v>0</x:v>
      </x:c>
      <x:c r="H20" s="31" t="n">
        <x:v>90</x:v>
      </x:c>
      <x:c r="I20" s="31" t="n">
        <x:v>130</x:v>
      </x:c>
      <x:c r="J20" s="31"/>
      <x:c r="K20" s="2"/>
      <x:c r="L20" s="2"/>
      <x:c r="M20" s="2"/>
      <x:c r="N20" s="2"/>
      <x:c r="O20" s="2"/>
      <x:c r="P20" s="2"/>
      <x:c r="Q20" s="2"/>
    </x:row>
    <x:row r="21">
      <x:c r="A21" s="31" t="str">
        <x:v>P019-MULTI-L2-L3</x:v>
      </x:c>
      <x:c r="B21" s="31" t="str">
        <x:v>low</x:v>
      </x:c>
      <x:c r="C21" s="31" t="n">
        <x:v>1</x:v>
      </x:c>
      <x:c r="D21" s="37" t="b">
        <x:v>1</x:v>
      </x:c>
      <x:c r="E21" s="31" t="n">
        <x:v>2</x:v>
      </x:c>
      <x:c r="F21" s="31" t="str">
        <x:v>none</x:v>
      </x:c>
      <x:c r="G21" s="31" t="n">
        <x:v>0</x:v>
      </x:c>
      <x:c r="H21" s="31" t="n">
        <x:v>90</x:v>
      </x:c>
      <x:c r="I21" s="31" t="n">
        <x:v>90</x:v>
      </x:c>
      <x:c r="J21" s="31"/>
      <x:c r="K21" s="2"/>
      <x:c r="L21" s="2"/>
      <x:c r="M21" s="2"/>
      <x:c r="N21" s="2"/>
      <x:c r="O21" s="2"/>
      <x:c r="P21" s="2"/>
      <x:c r="Q21" s="2"/>
    </x:row>
    <x:row r="22">
      <x:c r="A22" s="31" t="str">
        <x:v>P019-HAZ-MED</x:v>
      </x:c>
      <x:c r="B22" s="31" t="str">
        <x:v>medium</x:v>
      </x:c>
      <x:c r="C22" s="31" t="n">
        <x:v>1</x:v>
      </x:c>
      <x:c r="D22" s="37" t="b">
        <x:v>0</x:v>
      </x:c>
      <x:c r="E22" s="31"/>
      <x:c r="F22" s="31" t="str">
        <x:v>downed wire</x:v>
      </x:c>
      <x:c r="G22" s="31" t="n">
        <x:v>0</x:v>
      </x:c>
      <x:c r="H22" s="31" t="n">
        <x:v>100</x:v>
      </x:c>
      <x:c r="I22" s="31" t="n">
        <x:v>100</x:v>
      </x:c>
      <x:c r="J22" s="31"/>
      <x:c r="K22" s="2"/>
      <x:c r="L22" s="2"/>
      <x:c r="M22" s="2"/>
      <x:c r="N22" s="2"/>
      <x:c r="O22" s="2"/>
      <x:c r="P22" s="2"/>
      <x:c r="Q22" s="2"/>
    </x:row>
    <x:row r="23">
      <x:c r="A23" s="31" t="str">
        <x:v>P019-NOHAZ-HIGH</x:v>
      </x:c>
      <x:c r="B23" s="31" t="str">
        <x:v>high</x:v>
      </x:c>
      <x:c r="C23" s="31" t="n">
        <x:v>1</x:v>
      </x:c>
      <x:c r="D23" s="37" t="b">
        <x:v>0</x:v>
      </x:c>
      <x:c r="E23" s="31"/>
      <x:c r="F23" s="31" t="str">
        <x:v>none</x:v>
      </x:c>
      <x:c r="G23" s="31" t="n">
        <x:v>0</x:v>
      </x:c>
      <x:c r="H23" s="31" t="n">
        <x:v>80</x:v>
      </x:c>
      <x:c r="I23" s="31" t="n">
        <x:v>80</x:v>
      </x:c>
      <x:c r="J23" s="31"/>
      <x:c r="K23" s="2"/>
      <x:c r="L23" s="2"/>
      <x:c r="M23" s="2"/>
      <x:c r="N23" s="2"/>
      <x:c r="O23" s="2"/>
      <x:c r="P23" s="2"/>
      <x:c r="Q23" s="2"/>
    </x:row>
    <x:row r="24">
      <x:c r="A24" s="31" t="str">
        <x:v>P019-HAZ-LOW</x:v>
      </x:c>
      <x:c r="B24" s="31" t="str">
        <x:v>low</x:v>
      </x:c>
      <x:c r="C24" s="31" t="n">
        <x:v>1</x:v>
      </x:c>
      <x:c r="D24" s="37" t="b">
        <x:v>0</x:v>
      </x:c>
      <x:c r="E24" s="31"/>
      <x:c r="F24" s="31" t="str">
        <x:v>downed wire</x:v>
      </x:c>
      <x:c r="G24" s="31" t="n">
        <x:v>0</x:v>
      </x:c>
      <x:c r="H24" s="31" t="n">
        <x:v>70</x:v>
      </x:c>
      <x:c r="I24" s="31" t="n">
        <x:v>70</x:v>
      </x:c>
      <x:c r="J24" s="31"/>
      <x:c r="K24" s="2"/>
      <x:c r="L24" s="2"/>
      <x:c r="M24" s="2"/>
      <x:c r="N24" s="2"/>
      <x:c r="O24" s="2"/>
      <x:c r="P24" s="2"/>
      <x:c r="Q24" s="2"/>
    </x:row>
    <x:row r="25">
      <x:c r="A25" s="31" t="str">
        <x:v>P019-SEV-MED-C600</x:v>
      </x:c>
      <x:c r="B25" s="31" t="str">
        <x:v>medium</x:v>
      </x:c>
      <x:c r="C25" s="31" t="n">
        <x:v>600</x:v>
      </x:c>
      <x:c r="D25" s="37" t="b">
        <x:v>0</x:v>
      </x:c>
      <x:c r="E25" s="31"/>
      <x:c r="F25" s="31" t="str">
        <x:v>none</x:v>
      </x:c>
      <x:c r="G25" s="31" t="n">
        <x:v>0</x:v>
      </x:c>
      <x:c r="H25" s="31" t="n">
        <x:v>70</x:v>
      </x:c>
      <x:c r="I25" s="31" t="n">
        <x:v>70</x:v>
      </x:c>
      <x:c r="J25" s="31"/>
      <x:c r="K25" s="2"/>
      <x:c r="L25" s="2"/>
      <x:c r="M25" s="2"/>
      <x:c r="N25" s="2"/>
      <x:c r="O25" s="2"/>
      <x:c r="P25" s="2"/>
      <x:c r="Q25" s="2"/>
    </x:row>
    <x:row r="26">
      <x:c r="A26" s="31" t="str">
        <x:v>P019-CF-BEFORE-AGE</x:v>
      </x:c>
      <x:c r="B26" s="31" t="str">
        <x:v>low</x:v>
      </x:c>
      <x:c r="C26" s="31" t="n">
        <x:v>1</x:v>
      </x:c>
      <x:c r="D26" s="37" t="b">
        <x:v>1</x:v>
      </x:c>
      <x:c r="E26" s="31" t="n">
        <x:v>2</x:v>
      </x:c>
      <x:c r="F26" s="31" t="str">
        <x:v>none</x:v>
      </x:c>
      <x:c r="G26" s="31" t="n">
        <x:v>0</x:v>
      </x:c>
      <x:c r="H26" s="31" t="n">
        <x:v>90</x:v>
      </x:c>
      <x:c r="I26" s="31" t="n">
        <x:v>90</x:v>
      </x:c>
      <x:c r="J26" s="31"/>
      <x:c r="K26" s="2"/>
      <x:c r="L26" s="2"/>
      <x:c r="M26" s="2"/>
      <x:c r="N26" s="2"/>
      <x:c r="O26" s="2"/>
      <x:c r="P26" s="2"/>
      <x:c r="Q26" s="2"/>
    </x:row>
    <x:row r="27">
      <x:c r="A27" s="31" t="str">
        <x:v>P019-OLDER-NOCF</x:v>
      </x:c>
      <x:c r="B27" s="31" t="str">
        <x:v>low</x:v>
      </x:c>
      <x:c r="C27" s="31" t="n">
        <x:v>1</x:v>
      </x:c>
      <x:c r="D27" s="37" t="b">
        <x:v>0</x:v>
      </x:c>
      <x:c r="E27" s="31"/>
      <x:c r="F27" s="31" t="str">
        <x:v>none</x:v>
      </x:c>
      <x:c r="G27" s="31" t="n">
        <x:v>800</x:v>
      </x:c>
      <x:c r="H27" s="31" t="n">
        <x:v>90</x:v>
      </x:c>
      <x:c r="I27" s="31" t="n">
        <x:v>90</x:v>
      </x:c>
      <x:c r="J27" s="31"/>
      <x:c r="K27" s="2"/>
      <x:c r="L27" s="2"/>
      <x:c r="M27" s="2"/>
      <x:c r="N27" s="2"/>
      <x:c r="O27" s="2"/>
      <x:c r="P27" s="2"/>
      <x:c r="Q27" s="2"/>
    </x:row>
    <x:row r="28">
      <x:c r="A28" s="31" t="str">
        <x:v>P019-BAND-100-BELOW</x:v>
      </x:c>
      <x:c r="B28" s="31" t="str">
        <x:v>low</x:v>
      </x:c>
      <x:c r="C28" s="31" t="n">
        <x:v>1780</x:v>
      </x:c>
      <x:c r="D28" s="37" t="b">
        <x:v>0</x:v>
      </x:c>
      <x:c r="E28" s="31"/>
      <x:c r="F28" s="31" t="str">
        <x:v>none</x:v>
      </x:c>
      <x:c r="G28" s="31" t="n">
        <x:v>0</x:v>
      </x:c>
      <x:c r="H28" s="31" t="n">
        <x:v>99</x:v>
      </x:c>
      <x:c r="I28" s="31" t="n">
        <x:v>99</x:v>
      </x:c>
      <x:c r="J28" s="31"/>
      <x:c r="K28" s="2"/>
      <x:c r="L28" s="2"/>
      <x:c r="M28" s="2"/>
      <x:c r="N28" s="2"/>
      <x:c r="O28" s="2"/>
      <x:c r="P28" s="2"/>
      <x:c r="Q28" s="2"/>
    </x:row>
    <x:row r="29">
      <x:c r="A29" s="31" t="str">
        <x:v>P019-BAND-100-AT</x:v>
      </x:c>
      <x:c r="B29" s="31" t="str">
        <x:v>low</x:v>
      </x:c>
      <x:c r="C29" s="31" t="n">
        <x:v>1800</x:v>
      </x:c>
      <x:c r="D29" s="37" t="b">
        <x:v>0</x:v>
      </x:c>
      <x:c r="E29" s="31"/>
      <x:c r="F29" s="31" t="str">
        <x:v>none</x:v>
      </x:c>
      <x:c r="G29" s="31" t="n">
        <x:v>0</x:v>
      </x:c>
      <x:c r="H29" s="31" t="n">
        <x:v>100</x:v>
      </x:c>
      <x:c r="I29" s="31" t="n">
        <x:v>100</x:v>
      </x:c>
      <x:c r="J29" s="31"/>
      <x:c r="K29" s="2"/>
      <x:c r="L29" s="2"/>
      <x:c r="M29" s="2"/>
      <x:c r="N29" s="2"/>
      <x:c r="O29" s="2"/>
      <x:c r="P29" s="2"/>
      <x:c r="Q29" s="2"/>
    </x:row>
    <x:row r="30">
      <x:c r="A30" s="31" t="str">
        <x:v>P019-BAND-100-ABOVE</x:v>
      </x:c>
      <x:c r="B30" s="31" t="str">
        <x:v>low</x:v>
      </x:c>
      <x:c r="C30" s="31" t="n">
        <x:v>1820</x:v>
      </x:c>
      <x:c r="D30" s="37" t="b">
        <x:v>0</x:v>
      </x:c>
      <x:c r="E30" s="31"/>
      <x:c r="F30" s="31" t="str">
        <x:v>none</x:v>
      </x:c>
      <x:c r="G30" s="31" t="n">
        <x:v>0</x:v>
      </x:c>
      <x:c r="H30" s="31" t="n">
        <x:v>101</x:v>
      </x:c>
      <x:c r="I30" s="31" t="n">
        <x:v>101</x:v>
      </x:c>
      <x:c r="J30" s="31"/>
      <x:c r="K30" s="2"/>
      <x:c r="L30" s="2"/>
      <x:c r="M30" s="2"/>
      <x:c r="N30" s="2"/>
      <x:c r="O30" s="2"/>
      <x:c r="P30" s="2"/>
      <x:c r="Q30" s="2"/>
    </x:row>
    <x:row r="31">
      <x:c r="A31" s="31" t="str">
        <x:v>P019-BAND-200-BELOW</x:v>
      </x:c>
      <x:c r="B31" s="31" t="str">
        <x:v>low</x:v>
      </x:c>
      <x:c r="C31" s="31" t="n">
        <x:v>3780</x:v>
      </x:c>
      <x:c r="D31" s="37" t="b">
        <x:v>0</x:v>
      </x:c>
      <x:c r="E31" s="31"/>
      <x:c r="F31" s="31" t="str">
        <x:v>none</x:v>
      </x:c>
      <x:c r="G31" s="31" t="n">
        <x:v>0</x:v>
      </x:c>
      <x:c r="H31" s="31" t="n">
        <x:v>199</x:v>
      </x:c>
      <x:c r="I31" s="31" t="n">
        <x:v>199</x:v>
      </x:c>
      <x:c r="J31" s="31"/>
      <x:c r="K31" s="2"/>
      <x:c r="L31" s="2"/>
      <x:c r="M31" s="2"/>
      <x:c r="N31" s="2"/>
      <x:c r="O31" s="2"/>
      <x:c r="P31" s="2"/>
      <x:c r="Q31" s="2"/>
    </x:row>
    <x:row r="32">
      <x:c r="A32" s="31" t="str">
        <x:v>P019-BAND-200-AT</x:v>
      </x:c>
      <x:c r="B32" s="31" t="str">
        <x:v>low</x:v>
      </x:c>
      <x:c r="C32" s="31" t="n">
        <x:v>3800</x:v>
      </x:c>
      <x:c r="D32" s="37" t="b">
        <x:v>0</x:v>
      </x:c>
      <x:c r="E32" s="31"/>
      <x:c r="F32" s="31" t="str">
        <x:v>none</x:v>
      </x:c>
      <x:c r="G32" s="31" t="n">
        <x:v>0</x:v>
      </x:c>
      <x:c r="H32" s="31" t="n">
        <x:v>200</x:v>
      </x:c>
      <x:c r="I32" s="31" t="n">
        <x:v>200</x:v>
      </x:c>
      <x:c r="J32" s="31"/>
      <x:c r="K32" s="2"/>
      <x:c r="L32" s="2"/>
      <x:c r="M32" s="2"/>
      <x:c r="N32" s="2"/>
      <x:c r="O32" s="2"/>
      <x:c r="P32" s="2"/>
      <x:c r="Q32" s="2"/>
    </x:row>
    <x:row r="33">
      <x:c r="A33" s="31" t="str">
        <x:v>P019-BAND-200-ABOVE</x:v>
      </x:c>
      <x:c r="B33" s="31" t="str">
        <x:v>low</x:v>
      </x:c>
      <x:c r="C33" s="31" t="n">
        <x:v>3820</x:v>
      </x:c>
      <x:c r="D33" s="37" t="b">
        <x:v>0</x:v>
      </x:c>
      <x:c r="E33" s="31"/>
      <x:c r="F33" s="31" t="str">
        <x:v>none</x:v>
      </x:c>
      <x:c r="G33" s="31" t="n">
        <x:v>0</x:v>
      </x:c>
      <x:c r="H33" s="31" t="n">
        <x:v>201</x:v>
      </x:c>
      <x:c r="I33" s="31" t="n">
        <x:v>201</x:v>
      </x:c>
      <x:c r="J33" s="31"/>
      <x:c r="K33" s="2"/>
      <x:c r="L33" s="2"/>
      <x:c r="M33" s="2"/>
      <x:c r="N33" s="2"/>
      <x:c r="O33" s="2"/>
      <x:c r="P33" s="2"/>
      <x:c r="Q33" s="2"/>
    </x:row>
    <x:row r="34">
      <x:c r="A34" s="31" t="str">
        <x:v>P019-BAND-300-BELOW</x:v>
      </x:c>
      <x:c r="B34" s="31" t="str">
        <x:v>low</x:v>
      </x:c>
      <x:c r="C34" s="31" t="n">
        <x:v>5780</x:v>
      </x:c>
      <x:c r="D34" s="37" t="b">
        <x:v>0</x:v>
      </x:c>
      <x:c r="E34" s="31"/>
      <x:c r="F34" s="31" t="str">
        <x:v>none</x:v>
      </x:c>
      <x:c r="G34" s="31" t="n">
        <x:v>0</x:v>
      </x:c>
      <x:c r="H34" s="31" t="n">
        <x:v>299</x:v>
      </x:c>
      <x:c r="I34" s="31" t="n">
        <x:v>299</x:v>
      </x:c>
      <x:c r="J34" s="31"/>
      <x:c r="K34" s="2"/>
      <x:c r="L34" s="2"/>
      <x:c r="M34" s="2"/>
      <x:c r="N34" s="2"/>
      <x:c r="O34" s="2"/>
      <x:c r="P34" s="2"/>
      <x:c r="Q34" s="2"/>
    </x:row>
    <x:row r="35">
      <x:c r="A35" s="31" t="str">
        <x:v>P019-BAND-300-AT</x:v>
      </x:c>
      <x:c r="B35" s="31" t="str">
        <x:v>low</x:v>
      </x:c>
      <x:c r="C35" s="31" t="n">
        <x:v>5800</x:v>
      </x:c>
      <x:c r="D35" s="37" t="b">
        <x:v>0</x:v>
      </x:c>
      <x:c r="E35" s="31"/>
      <x:c r="F35" s="31" t="str">
        <x:v>none</x:v>
      </x:c>
      <x:c r="G35" s="31" t="n">
        <x:v>0</x:v>
      </x:c>
      <x:c r="H35" s="31" t="n">
        <x:v>300</x:v>
      </x:c>
      <x:c r="I35" s="31" t="n">
        <x:v>300</x:v>
      </x:c>
      <x:c r="J35" s="31"/>
      <x:c r="K35" s="2"/>
      <x:c r="L35" s="2"/>
      <x:c r="M35" s="2"/>
      <x:c r="N35" s="2"/>
      <x:c r="O35" s="2"/>
      <x:c r="P35" s="2"/>
      <x:c r="Q35" s="2"/>
    </x:row>
    <x:row r="36">
      <x:c r="A36" s="31" t="str">
        <x:v>P019-BAND-300-ABOVE</x:v>
      </x:c>
      <x:c r="B36" s="31" t="str">
        <x:v>low</x:v>
      </x:c>
      <x:c r="C36" s="31" t="n">
        <x:v>5820</x:v>
      </x:c>
      <x:c r="D36" s="37" t="b">
        <x:v>0</x:v>
      </x:c>
      <x:c r="E36" s="31"/>
      <x:c r="F36" s="31" t="str">
        <x:v>none</x:v>
      </x:c>
      <x:c r="G36" s="31" t="n">
        <x:v>0</x:v>
      </x:c>
      <x:c r="H36" s="31" t="n">
        <x:v>301</x:v>
      </x:c>
      <x:c r="I36" s="31" t="n">
        <x:v>301</x:v>
      </x:c>
      <x:c r="J36" s="31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 t="str">
        <x:v>Facility ID</x:v>
      </x:c>
      <x:c r="B40" s="2" t="str">
        <x:v>Facility name</x:v>
      </x:c>
      <x:c r="C40" s="2" t="str">
        <x:v>Type</x:v>
      </x:c>
      <x:c r="D40" s="2" t="str">
        <x:v>Region</x:v>
      </x:c>
      <x:c r="E40" s="2" t="str">
        <x:v>Municipality</x:v>
      </x:c>
      <x:c r="F40" s="2" t="str">
        <x:v>Feeder</x:v>
      </x:c>
      <x:c r="G40" s="2" t="str">
        <x:v>Priority level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 t="str">
        <x:v>FAC-L1</x:v>
      </x:c>
      <x:c r="B41" s="2" t="str">
        <x:v>Synthetic FAC-L1</x:v>
      </x:c>
      <x:c r="C41" s="2" t="str">
        <x:v>hospital</x:v>
      </x:c>
      <x:c r="D41" s="2" t="str">
        <x:v>Central-Nassau</x:v>
      </x:c>
      <x:c r="E41" s="2" t="str">
        <x:v>Hicksville</x:v>
      </x:c>
      <x:c r="F41" s="2" t="str">
        <x:v>FDR-CN-L1</x:v>
      </x:c>
      <x:c r="G41" s="2" t="str">
        <x:v>critical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 t="str">
        <x:v>FAC-L2</x:v>
      </x:c>
      <x:c r="B42" s="2" t="str">
        <x:v>Synthetic FAC-L2</x:v>
      </x:c>
      <x:c r="C42" s="2" t="str">
        <x:v>nursing_home</x:v>
      </x:c>
      <x:c r="D42" s="2" t="str">
        <x:v>Central-Nassau</x:v>
      </x:c>
      <x:c r="E42" s="2" t="str">
        <x:v>Hicksville</x:v>
      </x:c>
      <x:c r="F42" s="2" t="str">
        <x:v>FDR-CN-L2</x:v>
      </x:c>
      <x:c r="G42" s="2" t="str">
        <x:v>high</x:v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 t="str">
        <x:v>FAC-L3-LSE</x:v>
      </x:c>
      <x:c r="B43" s="2" t="str">
        <x:v>Synthetic Private Health Device LSE Group</x:v>
      </x:c>
      <x:c r="C43" s="2" t="str">
        <x:v>healthcare</x:v>
      </x:c>
      <x:c r="D43" s="2" t="str">
        <x:v>Central-Nassau</x:v>
      </x:c>
      <x:c r="E43" s="2" t="str">
        <x:v>Hicksville</x:v>
      </x:c>
      <x:c r="F43" s="2" t="str">
        <x:v>FDR-CN-L3</x:v>
      </x:c>
      <x:c r="G43" s="2" t="str">
        <x:v>medium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 t="str">
        <x:v>FAC-UNKNOWN</x:v>
      </x:c>
      <x:c r="B44" s="2" t="str">
        <x:v>Synthetic FAC-UNKNOWN</x:v>
      </x:c>
      <x:c r="C44" s="2" t="str">
        <x:v>healthcare</x:v>
      </x:c>
      <x:c r="D44" s="2" t="str">
        <x:v>Central-Nassau</x:v>
      </x:c>
      <x:c r="E44" s="2" t="str">
        <x:v>Hicksville</x:v>
      </x:c>
      <x:c r="F44" s="2" t="str">
        <x:v>FDR-CN-UNKNOWN</x:v>
      </x:c>
      <x:c r="G44" s="2" t="str">
        <x:v>unknown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 t="str">
        <x:v>FAC-MULTI-L1</x:v>
      </x:c>
      <x:c r="B45" s="2" t="str">
        <x:v>Synthetic FAC-MULTI-L1</x:v>
      </x:c>
      <x:c r="C45" s="2" t="str">
        <x:v>hospital</x:v>
      </x:c>
      <x:c r="D45" s="2" t="str">
        <x:v>Central-Nassau</x:v>
      </x:c>
      <x:c r="E45" s="2" t="str">
        <x:v>Hicksville</x:v>
      </x:c>
      <x:c r="F45" s="2" t="str">
        <x:v>FDR-CN-MULTI-L1</x:v>
      </x:c>
      <x:c r="G45" s="2" t="str">
        <x:v>critical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 t="str">
        <x:v>FAC-MULTI-L3A</x:v>
      </x:c>
      <x:c r="B46" s="2" t="str">
        <x:v>Synthetic FAC-MULTI-L3A</x:v>
      </x:c>
      <x:c r="C46" s="2" t="str">
        <x:v>healthcare</x:v>
      </x:c>
      <x:c r="D46" s="2" t="str">
        <x:v>Central-Nassau</x:v>
      </x:c>
      <x:c r="E46" s="2" t="str">
        <x:v>Hicksville</x:v>
      </x:c>
      <x:c r="F46" s="2" t="str">
        <x:v>FDR-CN-MULTI-L1</x:v>
      </x:c>
      <x:c r="G46" s="2" t="str">
        <x:v>medium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 t="str">
        <x:v>FAC-MULTI-L2</x:v>
      </x:c>
      <x:c r="B47" s="2" t="str">
        <x:v>Synthetic FAC-MULTI-L2</x:v>
      </x:c>
      <x:c r="C47" s="2" t="str">
        <x:v>nursing_home</x:v>
      </x:c>
      <x:c r="D47" s="2" t="str">
        <x:v>Central-Nassau</x:v>
      </x:c>
      <x:c r="E47" s="2" t="str">
        <x:v>Hicksville</x:v>
      </x:c>
      <x:c r="F47" s="2" t="str">
        <x:v>FDR-CN-MULTI-L2</x:v>
      </x:c>
      <x:c r="G47" s="2" t="str">
        <x:v>high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 t="str">
        <x:v>FAC-MULTI-L3B</x:v>
      </x:c>
      <x:c r="B48" s="2" t="str">
        <x:v>Synthetic FAC-MULTI-L3B</x:v>
      </x:c>
      <x:c r="C48" s="2" t="str">
        <x:v>healthcare</x:v>
      </x:c>
      <x:c r="D48" s="2" t="str">
        <x:v>Central-Nassau</x:v>
      </x:c>
      <x:c r="E48" s="2" t="str">
        <x:v>Hicksville</x:v>
      </x:c>
      <x:c r="F48" s="2" t="str">
        <x:v>FDR-CN-MULTI-L2</x:v>
      </x:c>
      <x:c r="G48" s="2" t="str">
        <x:v>medium</x:v>
      </x:c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 t="str">
        <x:v>FAC-CF-AGE</x:v>
      </x:c>
      <x:c r="B49" s="2" t="str">
        <x:v>Synthetic FAC-CF-AGE</x:v>
      </x:c>
      <x:c r="C49" s="2" t="str">
        <x:v>nursing_home</x:v>
      </x:c>
      <x:c r="D49" s="2" t="str">
        <x:v>Central-Nassau</x:v>
      </x:c>
      <x:c r="E49" s="2" t="str">
        <x:v>Hicksville</x:v>
      </x:c>
      <x:c r="F49" s="2" t="str">
        <x:v>FDR-CN-CF-AGE</x:v>
      </x:c>
      <x:c r="G49" s="2" t="str">
        <x:v>high</x:v>
      </x:c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 t="str">
        <x:v>Override example</x:v>
      </x:c>
      <x:c r="B53" s="2" t="str">
        <x:v>Action</x:v>
      </x:c>
      <x:c r="C53" s="2" t="str">
        <x:v>Reason</x:v>
      </x:c>
      <x:c r="D53" s="2" t="str">
        <x:v>Assignment created</x:v>
      </x:c>
      <x:c r="E53" s="2" t="str">
        <x:v>Evidence preserved</x:v>
      </x:c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36" customHeight="1">
      <x:c r="A54" s="2" t="str">
        <x:v>OVERRIDE-BACKUP-GENERATION</x:v>
      </x:c>
      <x:c r="B54" s="2" t="str">
        <x:v>overridden</x:v>
      </x:c>
      <x:c r="C54" s="23" t="str">
        <x:v>Critical facility confirmed on backup generation; reassess immediate priority.</x:v>
      </x:c>
      <x:c r="D54" s="36" t="b">
        <x:v>0</x:v>
      </x:c>
      <x:c r="E54" s="36" t="b">
        <x:v>1</x:v>
      </x:c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36" customHeight="1">
      <x:c r="A55" s="2" t="str">
        <x:v>OVERRIDE-FIELD-SAFETY</x:v>
      </x:c>
      <x:c r="B55" s="2" t="str">
        <x:v>overridden</x:v>
      </x:c>
      <x:c r="C55" s="23" t="str">
        <x:v>Field report identifies an energized-wire safety condition not yet present in source data.</x:v>
      </x:c>
      <x:c r="D55" s="36" t="b">
        <x:v>0</x:v>
      </x:c>
      <x:c r="E55" s="36" t="b">
        <x:v>1</x:v>
      </x:c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36" customHeight="1">
      <x:c r="A56" s="2" t="str">
        <x:v>MODIFIED-RANKED-ALTERNATIVE</x:v>
      </x:c>
      <x:c r="B56" s="2" t="str">
        <x:v>modified</x:v>
      </x:c>
      <x:c r="C56" s="23" t="str">
        <x:v>Use a ranked alternative crew based on current switching coordination.</x:v>
      </x:c>
      <x:c r="D56" s="36" t="b">
        <x:v>1</x:v>
      </x:c>
      <x:c r="E56" s="36" t="b">
        <x:v>1</x:v>
      </x:c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36" customHeight="1">
      <x:c r="A57" s="2" t="str">
        <x:v>OVERRIDE-MISSING-REASON</x:v>
      </x:c>
      <x:c r="B57" s="2" t="str">
        <x:v>overridden</x:v>
      </x:c>
      <x:c r="C57" s="23" t="str">
        <x:v>Missing reason test</x:v>
      </x:c>
      <x:c r="D57" s="2" t="str">
        <x:v>n.a.</x:v>
      </x:c>
      <x:c r="E57" s="2" t="str">
        <x:v>n.a.</x:v>
      </x:c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42" customHeight="1">
      <x:c r="A58" s="2" t="str">
        <x:v>OVERRIDE-ESCALATION</x:v>
      </x:c>
      <x:c r="B58" s="2" t="str">
        <x:v>overridden</x:v>
      </x:c>
      <x:c r="C58" s="23" t="str">
        <x:v>Escalation: supervisor directed this incident ahead of the recommended ordering due to operational conditions.</x:v>
      </x:c>
      <x:c r="D58" s="36" t="b">
        <x:v>0</x:v>
      </x:c>
      <x:c r="E58" s="36" t="b">
        <x:v>1</x:v>
      </x:c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</x:sheetData>
  <x:mergeCells>
    <x:mergeCell ref="A2:J2"/>
    <x:mergeCell ref="A3:J3"/>
  </x:mergeCells>
  <x:pageMargins left="0.7" right="0.7" top="0.75" bottom="0.75" header="0.3" footer="0.3"/>
  <x:tableParts count="3">
    <x:tablePart xmlns:r="http://schemas.openxmlformats.org/officeDocument/2006/relationships" r:id="R5674edcbd5024d7e"/>
    <x:tablePart xmlns:r="http://schemas.openxmlformats.org/officeDocument/2006/relationships" r:id="R318d6fed1af14977"/>
    <x:tablePart xmlns:r="http://schemas.openxmlformats.org/officeDocument/2006/relationships" r:id="R4bab13d470e1440d"/>
  </x:tableParts>
</x:worksheet>
</file>